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b62cf83fca7555/Bureau/My Paper Project/I-O modeling/Exter_Mada/GAMS Code/EXTER-MADA/output/"/>
    </mc:Choice>
  </mc:AlternateContent>
  <xr:revisionPtr revIDLastSave="4" documentId="8_{A807A180-E536-44F3-AF38-4593AF7799E5}" xr6:coauthVersionLast="47" xr6:coauthVersionMax="47" xr10:uidLastSave="{AB35194B-B0D4-4B7D-BF27-E191CE3E2DDC}"/>
  <bookViews>
    <workbookView xWindow="0" yWindow="0" windowWidth="11520" windowHeight="12360" firstSheet="14" activeTab="17" xr2:uid="{E8D53D4E-BA38-4036-839B-3910CA6B311C}"/>
  </bookViews>
  <sheets>
    <sheet name="Table of Contents" sheetId="29" r:id="rId1"/>
    <sheet name="Scalar" sheetId="28" r:id="rId2"/>
    <sheet name="A" sheetId="27" r:id="rId3"/>
    <sheet name="aij" sheetId="26" r:id="rId4"/>
    <sheet name="alpha" sheetId="25" r:id="rId5"/>
    <sheet name="A_E" sheetId="24" r:id="rId6"/>
    <sheet name="A_M" sheetId="23" r:id="rId7"/>
    <sheet name="beta_E" sheetId="22" r:id="rId8"/>
    <sheet name="beta_M" sheetId="21" r:id="rId9"/>
    <sheet name="gamma_CH" sheetId="20" r:id="rId10"/>
    <sheet name="gamma_INV" sheetId="19" r:id="rId11"/>
    <sheet name="io" sheetId="18" r:id="rId12"/>
    <sheet name="lambda" sheetId="17" r:id="rId13"/>
    <sheet name="lambda_TRA" sheetId="16" r:id="rId14"/>
    <sheet name="ntyh" sheetId="15" r:id="rId15"/>
    <sheet name="phi" sheetId="14" r:id="rId16"/>
    <sheet name="psi" sheetId="13" r:id="rId17"/>
    <sheet name="rho_E" sheetId="12" r:id="rId18"/>
    <sheet name="rho_M" sheetId="11" r:id="rId19"/>
    <sheet name="sigma_E" sheetId="10" r:id="rId20"/>
    <sheet name="sigma_M" sheetId="9" r:id="rId21"/>
    <sheet name="sntx" sheetId="8" r:id="rId22"/>
    <sheet name="theta" sheetId="7" r:id="rId23"/>
    <sheet name="tm" sheetId="6" r:id="rId24"/>
    <sheet name="tmgc" sheetId="5" r:id="rId25"/>
    <sheet name="tmgt" sheetId="4" r:id="rId26"/>
    <sheet name="tx" sheetId="3" r:id="rId27"/>
    <sheet name="tyh" sheetId="2" r:id="rId28"/>
    <sheet name="v" sheetId="1" r:id="rId29"/>
  </sheets>
  <definedNames>
    <definedName name="_xlnm._FilterDatabase" localSheetId="2" hidden="1">A!$A$3:$B$7</definedName>
    <definedName name="_xlnm._FilterDatabase" localSheetId="5" hidden="1">A_E!$A$3:$B$7</definedName>
    <definedName name="_xlnm._FilterDatabase" localSheetId="6" hidden="1">A_M!$A$3:$B$7</definedName>
    <definedName name="_xlnm._FilterDatabase" localSheetId="3" hidden="1">aij!$A$3:$C$33</definedName>
    <definedName name="_xlnm._FilterDatabase" localSheetId="4" hidden="1">alpha!$A$3:$B$7</definedName>
    <definedName name="_xlnm._FilterDatabase" localSheetId="7" hidden="1">beta_E!$A$3:$B$7</definedName>
    <definedName name="_xlnm._FilterDatabase" localSheetId="8" hidden="1">beta_M!$A$3:$B$7</definedName>
    <definedName name="_xlnm._FilterDatabase" localSheetId="9" hidden="1">gamma_CH!$A$3:$C$13</definedName>
    <definedName name="_xlnm._FilterDatabase" localSheetId="10" hidden="1">gamma_INV!$A$3:$B$5</definedName>
    <definedName name="_xlnm._FilterDatabase" localSheetId="11" hidden="1">io!$A$3:$B$9</definedName>
    <definedName name="_xlnm._FilterDatabase" localSheetId="12" hidden="1">lambda!$A$3:$B$5</definedName>
    <definedName name="_xlnm._FilterDatabase" localSheetId="13" hidden="1">lambda_TRA!$A$3:$C$6</definedName>
    <definedName name="_xlnm._FilterDatabase" localSheetId="14" hidden="1">ntyh!$A$3:$B$5</definedName>
    <definedName name="_xlnm._FilterDatabase" localSheetId="15" hidden="1">phi!$A$3:$B$5</definedName>
    <definedName name="_xlnm._FilterDatabase" localSheetId="16" hidden="1">psi!$A$3:$B$5</definedName>
    <definedName name="_xlnm._FilterDatabase" localSheetId="17" hidden="1">rho_E!$A$3:$B$7</definedName>
    <definedName name="_xlnm._FilterDatabase" localSheetId="18" hidden="1">rho_M!$A$3:$B$7</definedName>
    <definedName name="_xlnm._FilterDatabase" localSheetId="19" hidden="1">sigma_E!$A$3:$B$7</definedName>
    <definedName name="_xlnm._FilterDatabase" localSheetId="20" hidden="1">sigma_M!$A$3:$B$7</definedName>
    <definedName name="_xlnm._FilterDatabase" localSheetId="21" hidden="1">sntx!$A$3:$B$5</definedName>
    <definedName name="_xlnm._FilterDatabase" localSheetId="22" hidden="1">theta!$A$3:$C$14</definedName>
    <definedName name="_xlnm._FilterDatabase" localSheetId="23" hidden="1">tm!$A$3:$B$7</definedName>
    <definedName name="_xlnm._FilterDatabase" localSheetId="24" hidden="1">tmgc!$A$3:$B$7</definedName>
    <definedName name="_xlnm._FilterDatabase" localSheetId="25" hidden="1">tmgt!$A$3:$B$7</definedName>
    <definedName name="_xlnm._FilterDatabase" localSheetId="26" hidden="1">tx!$A$3:$B$7</definedName>
    <definedName name="_xlnm._FilterDatabase" localSheetId="27" hidden="1">tyh!$A$3:$B$5</definedName>
    <definedName name="_xlnm._FilterDatabase" localSheetId="28" hidden="1">v!$A$3:$B$9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2" l="1"/>
</calcChain>
</file>

<file path=xl/sharedStrings.xml><?xml version="1.0" encoding="utf-8"?>
<sst xmlns="http://schemas.openxmlformats.org/spreadsheetml/2006/main" count="503" uniqueCount="101">
  <si>
    <t>v</t>
  </si>
  <si>
    <t>(parameter)</t>
  </si>
  <si>
    <t>Coefficient (Leontief - valeur ajoutee)</t>
  </si>
  <si>
    <t>dim1</t>
  </si>
  <si>
    <t>Value</t>
  </si>
  <si>
    <t>AGR</t>
  </si>
  <si>
    <t>FOOD</t>
  </si>
  <si>
    <t>OTHIND</t>
  </si>
  <si>
    <t>SER</t>
  </si>
  <si>
    <t>PUB</t>
  </si>
  <si>
    <t>ONTR</t>
  </si>
  <si>
    <t>TOC</t>
  </si>
  <si>
    <t>tyh</t>
  </si>
  <si>
    <t>Taux de taxe directe sur le revenu du menage h</t>
  </si>
  <si>
    <t>HUR</t>
  </si>
  <si>
    <t>HRU</t>
  </si>
  <si>
    <t>tx</t>
  </si>
  <si>
    <t>Taux de taxe indirecte sur le produit tr</t>
  </si>
  <si>
    <t>tmgt</t>
  </si>
  <si>
    <t>Taux de marge de transport du produit tr</t>
  </si>
  <si>
    <t>PETR</t>
  </si>
  <si>
    <t>tmgc</t>
  </si>
  <si>
    <t>Taux de marge commerciale du produit tr</t>
  </si>
  <si>
    <t>tm</t>
  </si>
  <si>
    <t>Taux de droits de douane sur les importation en produit tr</t>
  </si>
  <si>
    <t>theta</t>
  </si>
  <si>
    <t>Part du produit tr dans la production domestique de la branche trj</t>
  </si>
  <si>
    <t>dim2</t>
  </si>
  <si>
    <t>sntx</t>
  </si>
  <si>
    <t>Part des recettes non fiscales versees par les menages et recues par l'agent agpub</t>
  </si>
  <si>
    <t>GVT</t>
  </si>
  <si>
    <t>NGO</t>
  </si>
  <si>
    <t>sigma_M</t>
  </si>
  <si>
    <t>Elasticite de substitution (CES - produit composite)</t>
  </si>
  <si>
    <t>sigma_E</t>
  </si>
  <si>
    <t>Elasticite de transformation (CET - production)</t>
  </si>
  <si>
    <t>rho_M</t>
  </si>
  <si>
    <t>Parametre d elasticite (CET - production)</t>
  </si>
  <si>
    <t>rho_E</t>
  </si>
  <si>
    <t>Parametre d elasticite (CES - produit composite)</t>
  </si>
  <si>
    <t>psi</t>
  </si>
  <si>
    <t>Propension moyenne a epargner du menage h</t>
  </si>
  <si>
    <t>phi</t>
  </si>
  <si>
    <t>Part du revenu du travail recue part le menage h</t>
  </si>
  <si>
    <t>ntyh</t>
  </si>
  <si>
    <t>Propension du menage h a verser des recettes non fiscales</t>
  </si>
  <si>
    <t>lambda_TRA</t>
  </si>
  <si>
    <t>Part du revenu disponible de l'agent agj qui va a l'agent ag</t>
  </si>
  <si>
    <t>FIRM</t>
  </si>
  <si>
    <t>lambda</t>
  </si>
  <si>
    <t>Part du revenu du capital recue part le menage h</t>
  </si>
  <si>
    <t>io</t>
  </si>
  <si>
    <t>Coefficient (Leontief - consommation intermediaire totale)</t>
  </si>
  <si>
    <t>gamma_INV</t>
  </si>
  <si>
    <t>Part du produit tr dans les depenses totales d'investissement</t>
  </si>
  <si>
    <t>gamma_CH</t>
  </si>
  <si>
    <t>Part du produit tr dans les depenses totales de consommation du menage h</t>
  </si>
  <si>
    <t>beta_M</t>
  </si>
  <si>
    <t>Parametre de repartition (CES - produit composite)</t>
  </si>
  <si>
    <t>beta_E</t>
  </si>
  <si>
    <t>Parametre de repartition (CET - production)</t>
  </si>
  <si>
    <t>A_M</t>
  </si>
  <si>
    <t>Parametre d'echelle (CES - produit composite)</t>
  </si>
  <si>
    <t>A_E</t>
  </si>
  <si>
    <t>Parametre d'echelle (CET - production)</t>
  </si>
  <si>
    <t>alpha</t>
  </si>
  <si>
    <t>Elasticite (Cobb-Douglas - fonction de production)</t>
  </si>
  <si>
    <t>aij</t>
  </si>
  <si>
    <t>Coefficient (Leontief - consommation intermediaire)</t>
  </si>
  <si>
    <t>A</t>
  </si>
  <si>
    <t>Parametre d'echelle (Cobb-Douglas - fonction de production)</t>
  </si>
  <si>
    <t>Parameter</t>
  </si>
  <si>
    <t>Explanatory text</t>
  </si>
  <si>
    <t>eta</t>
  </si>
  <si>
    <t>Elasticite-prix des transferts indexes et parametres</t>
  </si>
  <si>
    <t>lambda_R</t>
  </si>
  <si>
    <t>Part du revenu du capital recue part le reste du monde</t>
  </si>
  <si>
    <t>mu_D</t>
  </si>
  <si>
    <t>Part de l'offre de produits petroliers allouee a la demande domestique</t>
  </si>
  <si>
    <t>mu_E</t>
  </si>
  <si>
    <t>Part de l'offre de produits petroliers allouee a la reexportation</t>
  </si>
  <si>
    <t>m_G</t>
  </si>
  <si>
    <t>Part des autres APU et des ISBLSM dans la depense publique totale</t>
  </si>
  <si>
    <t>ntyf</t>
  </si>
  <si>
    <t>Propension des Societes a verser des recettes non fiscales</t>
  </si>
  <si>
    <t>syfi</t>
  </si>
  <si>
    <t>Part des autres impÃ´ts indirects sur le revenu entreprises</t>
  </si>
  <si>
    <t>syfm</t>
  </si>
  <si>
    <t>Part des autres droits de douanes sur le revenu entreprises</t>
  </si>
  <si>
    <t>tyf</t>
  </si>
  <si>
    <t>Taux de taxe directe sur le revenu des entreprises</t>
  </si>
  <si>
    <t>Variable</t>
  </si>
  <si>
    <t>Lowerbound</t>
  </si>
  <si>
    <t>Upperbound</t>
  </si>
  <si>
    <t>Marginal</t>
  </si>
  <si>
    <t>Equation</t>
  </si>
  <si>
    <t>Name</t>
  </si>
  <si>
    <t>Type</t>
  </si>
  <si>
    <t>Dim</t>
  </si>
  <si>
    <t>Count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</si>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</sst>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2"/>
      <color theme="1"/>
      <name val="Aptos"/>
      <family val="2"/>
    </font>
    <font>
      <u/>
      <sz val="12"/>
      <color theme="10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164" fontId="0" fillId="0" borderId="0" xfId="2" applyNumberFormat="1" applyFont="1"/>
  </cellXfs>
  <cellStyles count="3">
    <cellStyle name="Lien hypertexte" xfId="1" builtinId="8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8E2D-B17F-4684-B01F-0309A8BFFBA9}">
  <dimension ref="A1:E37"/>
  <sheetViews>
    <sheetView workbookViewId="0">
      <selection activeCell="A14" sqref="A14"/>
    </sheetView>
  </sheetViews>
  <sheetFormatPr baseColWidth="10" defaultRowHeight="15.6" x14ac:dyDescent="0.3"/>
  <sheetData>
    <row r="1" spans="1:5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72</v>
      </c>
    </row>
    <row r="2" spans="1:5" x14ac:dyDescent="0.3">
      <c r="A2" s="2" t="s">
        <v>69</v>
      </c>
      <c r="B2" s="1" t="s">
        <v>100</v>
      </c>
      <c r="C2">
        <v>1</v>
      </c>
      <c r="D2">
        <v>4</v>
      </c>
      <c r="E2" s="1" t="s">
        <v>70</v>
      </c>
    </row>
    <row r="3" spans="1:5" x14ac:dyDescent="0.3">
      <c r="A3" s="2" t="s">
        <v>67</v>
      </c>
      <c r="B3" s="1" t="s">
        <v>100</v>
      </c>
      <c r="C3">
        <v>2</v>
      </c>
      <c r="D3">
        <v>30</v>
      </c>
      <c r="E3" s="1" t="s">
        <v>68</v>
      </c>
    </row>
    <row r="4" spans="1:5" x14ac:dyDescent="0.3">
      <c r="A4" s="2" t="s">
        <v>65</v>
      </c>
      <c r="B4" s="1" t="s">
        <v>100</v>
      </c>
      <c r="C4">
        <v>1</v>
      </c>
      <c r="D4">
        <v>4</v>
      </c>
      <c r="E4" s="1" t="s">
        <v>66</v>
      </c>
    </row>
    <row r="5" spans="1:5" x14ac:dyDescent="0.3">
      <c r="A5" s="2" t="s">
        <v>63</v>
      </c>
      <c r="B5" s="1" t="s">
        <v>100</v>
      </c>
      <c r="C5">
        <v>1</v>
      </c>
      <c r="D5">
        <v>4</v>
      </c>
      <c r="E5" s="1" t="s">
        <v>64</v>
      </c>
    </row>
    <row r="6" spans="1:5" x14ac:dyDescent="0.3">
      <c r="A6" s="2" t="s">
        <v>61</v>
      </c>
      <c r="B6" s="1" t="s">
        <v>100</v>
      </c>
      <c r="C6">
        <v>1</v>
      </c>
      <c r="D6">
        <v>4</v>
      </c>
      <c r="E6" s="1" t="s">
        <v>62</v>
      </c>
    </row>
    <row r="7" spans="1:5" x14ac:dyDescent="0.3">
      <c r="A7" s="2" t="s">
        <v>59</v>
      </c>
      <c r="B7" s="1" t="s">
        <v>100</v>
      </c>
      <c r="C7">
        <v>1</v>
      </c>
      <c r="D7">
        <v>4</v>
      </c>
      <c r="E7" s="1" t="s">
        <v>60</v>
      </c>
    </row>
    <row r="8" spans="1:5" x14ac:dyDescent="0.3">
      <c r="A8" s="2" t="s">
        <v>57</v>
      </c>
      <c r="B8" s="1" t="s">
        <v>100</v>
      </c>
      <c r="C8">
        <v>1</v>
      </c>
      <c r="D8">
        <v>4</v>
      </c>
      <c r="E8" s="1" t="s">
        <v>58</v>
      </c>
    </row>
    <row r="9" spans="1:5" x14ac:dyDescent="0.3">
      <c r="A9" s="2" t="s">
        <v>73</v>
      </c>
      <c r="B9" s="1" t="s">
        <v>100</v>
      </c>
      <c r="C9">
        <v>0</v>
      </c>
      <c r="D9">
        <v>1</v>
      </c>
      <c r="E9" s="1" t="s">
        <v>74</v>
      </c>
    </row>
    <row r="10" spans="1:5" x14ac:dyDescent="0.3">
      <c r="A10" s="2" t="s">
        <v>55</v>
      </c>
      <c r="B10" s="1" t="s">
        <v>100</v>
      </c>
      <c r="C10">
        <v>2</v>
      </c>
      <c r="D10">
        <v>10</v>
      </c>
      <c r="E10" s="1" t="s">
        <v>56</v>
      </c>
    </row>
    <row r="11" spans="1:5" x14ac:dyDescent="0.3">
      <c r="A11" s="2" t="s">
        <v>53</v>
      </c>
      <c r="B11" s="1" t="s">
        <v>100</v>
      </c>
      <c r="C11">
        <v>1</v>
      </c>
      <c r="D11">
        <v>2</v>
      </c>
      <c r="E11" s="1" t="s">
        <v>54</v>
      </c>
    </row>
    <row r="12" spans="1:5" x14ac:dyDescent="0.3">
      <c r="A12" s="2" t="s">
        <v>51</v>
      </c>
      <c r="B12" s="1" t="s">
        <v>100</v>
      </c>
      <c r="C12">
        <v>1</v>
      </c>
      <c r="D12">
        <v>6</v>
      </c>
      <c r="E12" s="1" t="s">
        <v>52</v>
      </c>
    </row>
    <row r="13" spans="1:5" x14ac:dyDescent="0.3">
      <c r="A13" s="2" t="s">
        <v>49</v>
      </c>
      <c r="B13" s="1" t="s">
        <v>100</v>
      </c>
      <c r="C13">
        <v>1</v>
      </c>
      <c r="D13">
        <v>2</v>
      </c>
      <c r="E13" s="1" t="s">
        <v>50</v>
      </c>
    </row>
    <row r="14" spans="1:5" x14ac:dyDescent="0.3">
      <c r="A14" s="2" t="s">
        <v>75</v>
      </c>
      <c r="B14" s="1" t="s">
        <v>100</v>
      </c>
      <c r="C14">
        <v>0</v>
      </c>
      <c r="D14">
        <v>1</v>
      </c>
      <c r="E14" s="1" t="s">
        <v>76</v>
      </c>
    </row>
    <row r="15" spans="1:5" x14ac:dyDescent="0.3">
      <c r="A15" s="2" t="s">
        <v>46</v>
      </c>
      <c r="B15" s="1" t="s">
        <v>100</v>
      </c>
      <c r="C15">
        <v>2</v>
      </c>
      <c r="D15">
        <v>3</v>
      </c>
      <c r="E15" s="1" t="s">
        <v>47</v>
      </c>
    </row>
    <row r="16" spans="1:5" x14ac:dyDescent="0.3">
      <c r="A16" s="2" t="s">
        <v>77</v>
      </c>
      <c r="B16" s="1" t="s">
        <v>100</v>
      </c>
      <c r="C16">
        <v>0</v>
      </c>
      <c r="D16">
        <v>1</v>
      </c>
      <c r="E16" s="1" t="s">
        <v>78</v>
      </c>
    </row>
    <row r="17" spans="1:5" x14ac:dyDescent="0.3">
      <c r="A17" s="2" t="s">
        <v>79</v>
      </c>
      <c r="B17" s="1" t="s">
        <v>100</v>
      </c>
      <c r="C17">
        <v>0</v>
      </c>
      <c r="D17">
        <v>1</v>
      </c>
      <c r="E17" s="1" t="s">
        <v>80</v>
      </c>
    </row>
    <row r="18" spans="1:5" x14ac:dyDescent="0.3">
      <c r="A18" s="2" t="s">
        <v>81</v>
      </c>
      <c r="B18" s="1" t="s">
        <v>100</v>
      </c>
      <c r="C18">
        <v>0</v>
      </c>
      <c r="D18">
        <v>1</v>
      </c>
      <c r="E18" s="1" t="s">
        <v>82</v>
      </c>
    </row>
    <row r="19" spans="1:5" x14ac:dyDescent="0.3">
      <c r="A19" s="2" t="s">
        <v>83</v>
      </c>
      <c r="B19" s="1" t="s">
        <v>100</v>
      </c>
      <c r="C19">
        <v>0</v>
      </c>
      <c r="D19">
        <v>1</v>
      </c>
      <c r="E19" s="1" t="s">
        <v>84</v>
      </c>
    </row>
    <row r="20" spans="1:5" x14ac:dyDescent="0.3">
      <c r="A20" s="2" t="s">
        <v>44</v>
      </c>
      <c r="B20" s="1" t="s">
        <v>100</v>
      </c>
      <c r="C20">
        <v>1</v>
      </c>
      <c r="D20">
        <v>2</v>
      </c>
      <c r="E20" s="1" t="s">
        <v>45</v>
      </c>
    </row>
    <row r="21" spans="1:5" x14ac:dyDescent="0.3">
      <c r="A21" s="2" t="s">
        <v>42</v>
      </c>
      <c r="B21" s="1" t="s">
        <v>100</v>
      </c>
      <c r="C21">
        <v>1</v>
      </c>
      <c r="D21">
        <v>2</v>
      </c>
      <c r="E21" s="1" t="s">
        <v>43</v>
      </c>
    </row>
    <row r="22" spans="1:5" x14ac:dyDescent="0.3">
      <c r="A22" s="2" t="s">
        <v>40</v>
      </c>
      <c r="B22" s="1" t="s">
        <v>100</v>
      </c>
      <c r="C22">
        <v>1</v>
      </c>
      <c r="D22">
        <v>2</v>
      </c>
      <c r="E22" s="1" t="s">
        <v>41</v>
      </c>
    </row>
    <row r="23" spans="1:5" x14ac:dyDescent="0.3">
      <c r="A23" s="2" t="s">
        <v>38</v>
      </c>
      <c r="B23" s="1" t="s">
        <v>100</v>
      </c>
      <c r="C23">
        <v>1</v>
      </c>
      <c r="D23">
        <v>4</v>
      </c>
      <c r="E23" s="1" t="s">
        <v>39</v>
      </c>
    </row>
    <row r="24" spans="1:5" x14ac:dyDescent="0.3">
      <c r="A24" s="2" t="s">
        <v>36</v>
      </c>
      <c r="B24" s="1" t="s">
        <v>100</v>
      </c>
      <c r="C24">
        <v>1</v>
      </c>
      <c r="D24">
        <v>4</v>
      </c>
      <c r="E24" s="1" t="s">
        <v>37</v>
      </c>
    </row>
    <row r="25" spans="1:5" x14ac:dyDescent="0.3">
      <c r="A25" s="2" t="s">
        <v>34</v>
      </c>
      <c r="B25" s="1" t="s">
        <v>100</v>
      </c>
      <c r="C25">
        <v>1</v>
      </c>
      <c r="D25">
        <v>4</v>
      </c>
      <c r="E25" s="1" t="s">
        <v>35</v>
      </c>
    </row>
    <row r="26" spans="1:5" x14ac:dyDescent="0.3">
      <c r="A26" s="2" t="s">
        <v>32</v>
      </c>
      <c r="B26" s="1" t="s">
        <v>100</v>
      </c>
      <c r="C26">
        <v>1</v>
      </c>
      <c r="D26">
        <v>4</v>
      </c>
      <c r="E26" s="1" t="s">
        <v>33</v>
      </c>
    </row>
    <row r="27" spans="1:5" x14ac:dyDescent="0.3">
      <c r="A27" s="2" t="s">
        <v>28</v>
      </c>
      <c r="B27" s="1" t="s">
        <v>100</v>
      </c>
      <c r="C27">
        <v>1</v>
      </c>
      <c r="D27">
        <v>2</v>
      </c>
      <c r="E27" s="1" t="s">
        <v>29</v>
      </c>
    </row>
    <row r="28" spans="1:5" x14ac:dyDescent="0.3">
      <c r="A28" s="2" t="s">
        <v>85</v>
      </c>
      <c r="B28" s="1" t="s">
        <v>100</v>
      </c>
      <c r="C28">
        <v>0</v>
      </c>
      <c r="D28">
        <v>1</v>
      </c>
      <c r="E28" s="1" t="s">
        <v>86</v>
      </c>
    </row>
    <row r="29" spans="1:5" x14ac:dyDescent="0.3">
      <c r="A29" s="2" t="s">
        <v>87</v>
      </c>
      <c r="B29" s="1" t="s">
        <v>100</v>
      </c>
      <c r="C29">
        <v>0</v>
      </c>
      <c r="D29">
        <v>1</v>
      </c>
      <c r="E29" s="1" t="s">
        <v>88</v>
      </c>
    </row>
    <row r="30" spans="1:5" x14ac:dyDescent="0.3">
      <c r="A30" s="2" t="s">
        <v>25</v>
      </c>
      <c r="B30" s="1" t="s">
        <v>100</v>
      </c>
      <c r="C30">
        <v>2</v>
      </c>
      <c r="D30">
        <v>11</v>
      </c>
      <c r="E30" s="1" t="s">
        <v>26</v>
      </c>
    </row>
    <row r="31" spans="1:5" x14ac:dyDescent="0.3">
      <c r="A31" s="2" t="s">
        <v>23</v>
      </c>
      <c r="B31" s="1" t="s">
        <v>100</v>
      </c>
      <c r="C31">
        <v>1</v>
      </c>
      <c r="D31">
        <v>4</v>
      </c>
      <c r="E31" s="1" t="s">
        <v>24</v>
      </c>
    </row>
    <row r="32" spans="1:5" x14ac:dyDescent="0.3">
      <c r="A32" s="2" t="s">
        <v>21</v>
      </c>
      <c r="B32" s="1" t="s">
        <v>100</v>
      </c>
      <c r="C32">
        <v>1</v>
      </c>
      <c r="D32">
        <v>4</v>
      </c>
      <c r="E32" s="1" t="s">
        <v>22</v>
      </c>
    </row>
    <row r="33" spans="1:5" x14ac:dyDescent="0.3">
      <c r="A33" s="2" t="s">
        <v>18</v>
      </c>
      <c r="B33" s="1" t="s">
        <v>100</v>
      </c>
      <c r="C33">
        <v>1</v>
      </c>
      <c r="D33">
        <v>4</v>
      </c>
      <c r="E33" s="1" t="s">
        <v>19</v>
      </c>
    </row>
    <row r="34" spans="1:5" x14ac:dyDescent="0.3">
      <c r="A34" s="2" t="s">
        <v>16</v>
      </c>
      <c r="B34" s="1" t="s">
        <v>100</v>
      </c>
      <c r="C34">
        <v>1</v>
      </c>
      <c r="D34">
        <v>4</v>
      </c>
      <c r="E34" s="1" t="s">
        <v>17</v>
      </c>
    </row>
    <row r="35" spans="1:5" x14ac:dyDescent="0.3">
      <c r="A35" s="2" t="s">
        <v>89</v>
      </c>
      <c r="B35" s="1" t="s">
        <v>100</v>
      </c>
      <c r="C35">
        <v>0</v>
      </c>
      <c r="D35">
        <v>1</v>
      </c>
      <c r="E35" s="1" t="s">
        <v>90</v>
      </c>
    </row>
    <row r="36" spans="1:5" x14ac:dyDescent="0.3">
      <c r="A36" s="2" t="s">
        <v>12</v>
      </c>
      <c r="B36" s="1" t="s">
        <v>100</v>
      </c>
      <c r="C36">
        <v>1</v>
      </c>
      <c r="D36">
        <v>2</v>
      </c>
      <c r="E36" s="1" t="s">
        <v>13</v>
      </c>
    </row>
    <row r="37" spans="1:5" x14ac:dyDescent="0.3">
      <c r="A37" s="2" t="s">
        <v>0</v>
      </c>
      <c r="B37" s="1" t="s">
        <v>100</v>
      </c>
      <c r="C37">
        <v>1</v>
      </c>
      <c r="D37">
        <v>6</v>
      </c>
      <c r="E37" s="1" t="s">
        <v>2</v>
      </c>
    </row>
  </sheetData>
  <hyperlinks>
    <hyperlink ref="A2" location="A!A1" display="A" xr:uid="{FB30364D-9EA5-40C6-AA17-F6ADEA875B4B}"/>
    <hyperlink ref="A3" location="aij!A1" display="aij" xr:uid="{EDE70CC8-A3E4-4BA6-8D26-296100682F30}"/>
    <hyperlink ref="A4" location="alpha!A1" display="alpha" xr:uid="{DF1A0C8E-D273-4516-A81C-C554297380E1}"/>
    <hyperlink ref="A5" location="A_E!A1" display="A_E" xr:uid="{ABB545BF-461D-4C0C-9704-935A0372C6CC}"/>
    <hyperlink ref="A6" location="A_M!A1" display="A_M" xr:uid="{DC78CBEF-FE5B-4047-9C96-8DA837C85FDF}"/>
    <hyperlink ref="A7" location="beta_E!A1" display="beta_E" xr:uid="{EB276098-E816-4C9C-832A-CA579FEE798C}"/>
    <hyperlink ref="A8" location="beta_M!A1" display="beta_M" xr:uid="{51510B6A-C75A-475F-BFA9-47CD2CAAD113}"/>
    <hyperlink ref="A9" location="Scalar!A1" display="eta" xr:uid="{F15B73B3-470D-4F10-99D8-0359FF26E99C}"/>
    <hyperlink ref="A10" location="gamma_CH!A1" display="gamma_CH" xr:uid="{59A41F9A-EED0-485D-8BDE-597D7B38E3EA}"/>
    <hyperlink ref="A11" location="gamma_INV!A1" display="gamma_INV" xr:uid="{4DD3EB03-B6B4-4943-B5DC-ABEF7A61BC6C}"/>
    <hyperlink ref="A12" location="io!A1" display="io" xr:uid="{5EEA61C2-BF65-475A-9D3E-B3335E88E512}"/>
    <hyperlink ref="A13" location="lambda!A1" display="lambda" xr:uid="{D42A38EA-41E7-4F3E-9EAB-CD8C8856605D}"/>
    <hyperlink ref="A14" location="Scalar!A1" display="lambda_R" xr:uid="{91A16642-6C55-49E0-886D-B51A475E017B}"/>
    <hyperlink ref="A15" location="lambda_TRA!A1" display="lambda_TRA" xr:uid="{D6291820-614F-46DB-8464-7562F22CA142}"/>
    <hyperlink ref="A16" location="Scalar!A1" display="mu_D" xr:uid="{C3047E7A-1BB8-42A7-9784-4090671CDE5E}"/>
    <hyperlink ref="A17" location="Scalar!A1" display="mu_E" xr:uid="{48B9AF18-526A-4A19-85AE-39583498F22A}"/>
    <hyperlink ref="A18" location="Scalar!A1" display="m_G" xr:uid="{E75AC7EE-1863-48B7-AFB7-5A6A0D7326D8}"/>
    <hyperlink ref="A19" location="Scalar!A1" display="ntyf" xr:uid="{0B96F0D2-E756-41CA-91BA-E63A497A9862}"/>
    <hyperlink ref="A20" location="ntyh!A1" display="ntyh" xr:uid="{88838417-5C76-452D-9D47-C28252F60DBE}"/>
    <hyperlink ref="A21" location="phi!A1" display="phi" xr:uid="{D0A16CAF-1AE3-4639-BD07-A804E8E7449C}"/>
    <hyperlink ref="A22" location="psi!A1" display="psi" xr:uid="{500A2BAC-01BB-4201-AA7D-05B95BEF92AA}"/>
    <hyperlink ref="A23" location="rho_E!A1" display="rho_E" xr:uid="{5AD6BDC3-ABEF-442B-8BB6-14B3BCE87E2F}"/>
    <hyperlink ref="A24" location="rho_M!A1" display="rho_M" xr:uid="{DA7232EB-8479-4E71-BFBA-16C7C2CE7677}"/>
    <hyperlink ref="A25" location="sigma_E!A1" display="sigma_E" xr:uid="{78956E0B-EA86-4787-99D9-C994791AA3D0}"/>
    <hyperlink ref="A26" location="sigma_M!A1" display="sigma_M" xr:uid="{1DAB2FC0-F7BC-427A-AAA2-99EF03E745BC}"/>
    <hyperlink ref="A27" location="sntx!A1" display="sntx" xr:uid="{6EF121D0-B910-43D4-B905-E2E85B77CF72}"/>
    <hyperlink ref="A28" location="Scalar!A1" display="syfi" xr:uid="{7B70D3F8-986F-464C-8151-1C541CA790B5}"/>
    <hyperlink ref="A29" location="Scalar!A1" display="syfm" xr:uid="{50620D66-9A3E-4AB4-8313-3C7310797369}"/>
    <hyperlink ref="A30" location="theta!A1" display="theta" xr:uid="{86BA5678-3747-4F04-B083-F744EF665E9D}"/>
    <hyperlink ref="A31" location="tm!A1" display="tm" xr:uid="{42FA530F-7991-4903-8C28-B61D31F0C2BA}"/>
    <hyperlink ref="A32" location="tmgc!A1" display="tmgc" xr:uid="{282D6D41-0E64-4175-9AD5-BF24EAC5D7BB}"/>
    <hyperlink ref="A33" location="tmgt!A1" display="tmgt" xr:uid="{3EC5468D-3EF1-456B-ABAC-954C9E836AB8}"/>
    <hyperlink ref="A34" location="tx!A1" display="tx" xr:uid="{FE7718FB-63FD-4B2E-BDB4-828DB20A1959}"/>
    <hyperlink ref="A35" location="Scalar!A1" display="tyf" xr:uid="{84EB7FA7-7451-4BEE-9A96-5DF830CCC14C}"/>
    <hyperlink ref="A36" location="tyh!A1" display="tyh" xr:uid="{2E813BC2-ED8A-41C9-B77E-D7D6778EAB17}"/>
    <hyperlink ref="A37" location="v!A1" display="v" xr:uid="{777B1D8D-9912-4C83-A0AA-BEECB0784F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F989-9E08-4E54-AE9E-9A3DAC2C17B3}">
  <dimension ref="A1:F15"/>
  <sheetViews>
    <sheetView workbookViewId="0"/>
  </sheetViews>
  <sheetFormatPr baseColWidth="10" defaultRowHeight="15.6" x14ac:dyDescent="0.3"/>
  <sheetData>
    <row r="1" spans="1:6" x14ac:dyDescent="0.3">
      <c r="A1" s="2" t="s">
        <v>11</v>
      </c>
    </row>
    <row r="2" spans="1:6" x14ac:dyDescent="0.3">
      <c r="A2" t="s">
        <v>71</v>
      </c>
      <c r="B2" t="s">
        <v>4</v>
      </c>
      <c r="C2" t="s">
        <v>72</v>
      </c>
    </row>
    <row r="3" spans="1:6" x14ac:dyDescent="0.3">
      <c r="A3" t="s">
        <v>73</v>
      </c>
      <c r="B3">
        <v>1</v>
      </c>
      <c r="C3" t="s">
        <v>74</v>
      </c>
    </row>
    <row r="4" spans="1:6" x14ac:dyDescent="0.3">
      <c r="A4" t="s">
        <v>75</v>
      </c>
      <c r="B4">
        <v>5.6643764412933617E-2</v>
      </c>
      <c r="C4" t="s">
        <v>76</v>
      </c>
    </row>
    <row r="5" spans="1:6" x14ac:dyDescent="0.3">
      <c r="A5" t="s">
        <v>77</v>
      </c>
      <c r="B5">
        <v>0.63909927190214888</v>
      </c>
      <c r="C5" t="s">
        <v>78</v>
      </c>
    </row>
    <row r="6" spans="1:6" x14ac:dyDescent="0.3">
      <c r="A6" t="s">
        <v>79</v>
      </c>
      <c r="B6">
        <v>0.11926895476730622</v>
      </c>
      <c r="C6" t="s">
        <v>80</v>
      </c>
    </row>
    <row r="7" spans="1:6" x14ac:dyDescent="0.3">
      <c r="A7" t="s">
        <v>81</v>
      </c>
      <c r="B7">
        <v>0.71702817956147558</v>
      </c>
      <c r="C7" t="s">
        <v>82</v>
      </c>
    </row>
    <row r="8" spans="1:6" x14ac:dyDescent="0.3">
      <c r="A8" t="s">
        <v>83</v>
      </c>
      <c r="B8">
        <v>4.5389041093994277E-3</v>
      </c>
      <c r="C8" t="s">
        <v>84</v>
      </c>
    </row>
    <row r="9" spans="1:6" x14ac:dyDescent="0.3">
      <c r="A9" t="s">
        <v>85</v>
      </c>
      <c r="B9">
        <v>7.5170856155696479E-3</v>
      </c>
      <c r="C9" t="s">
        <v>86</v>
      </c>
    </row>
    <row r="10" spans="1:6" x14ac:dyDescent="0.3">
      <c r="A10" t="s">
        <v>87</v>
      </c>
      <c r="B10">
        <v>2.7403386924196221E-2</v>
      </c>
      <c r="C10" t="s">
        <v>88</v>
      </c>
    </row>
    <row r="11" spans="1:6" x14ac:dyDescent="0.3">
      <c r="A11" t="s">
        <v>89</v>
      </c>
      <c r="B11">
        <v>3.4694189634020593E-2</v>
      </c>
      <c r="C11" t="s">
        <v>90</v>
      </c>
    </row>
    <row r="13" spans="1:6" x14ac:dyDescent="0.3">
      <c r="A13" t="s">
        <v>91</v>
      </c>
      <c r="B13" t="s">
        <v>92</v>
      </c>
      <c r="C13" t="s">
        <v>4</v>
      </c>
      <c r="D13" t="s">
        <v>93</v>
      </c>
      <c r="E13" t="s">
        <v>94</v>
      </c>
      <c r="F13" t="s">
        <v>72</v>
      </c>
    </row>
    <row r="15" spans="1:6" x14ac:dyDescent="0.3">
      <c r="A15" t="s">
        <v>95</v>
      </c>
      <c r="B15" t="s">
        <v>92</v>
      </c>
      <c r="C15" t="s">
        <v>4</v>
      </c>
      <c r="D15" t="s">
        <v>93</v>
      </c>
      <c r="E15" t="s">
        <v>94</v>
      </c>
      <c r="F15" t="s">
        <v>72</v>
      </c>
    </row>
  </sheetData>
  <hyperlinks>
    <hyperlink ref="A1" location="'Table of Contents'!A1" display="TOC" xr:uid="{4927C837-FBEE-47F1-B47C-CB5483AAC0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2665-E252-408F-AA63-0ACE47FFE970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69</v>
      </c>
      <c r="B2" s="1" t="s">
        <v>1</v>
      </c>
      <c r="C2" s="1" t="s">
        <v>70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1.9173026256857819</v>
      </c>
    </row>
    <row r="5" spans="1:3" x14ac:dyDescent="0.3">
      <c r="A5" s="1" t="s">
        <v>6</v>
      </c>
      <c r="B5">
        <v>1.999853635032721</v>
      </c>
    </row>
    <row r="6" spans="1:3" x14ac:dyDescent="0.3">
      <c r="A6" s="1" t="s">
        <v>7</v>
      </c>
      <c r="B6">
        <v>1.999853635032721</v>
      </c>
    </row>
    <row r="7" spans="1:3" x14ac:dyDescent="0.3">
      <c r="A7" s="1" t="s">
        <v>8</v>
      </c>
      <c r="B7">
        <v>1.1469052768463994</v>
      </c>
    </row>
  </sheetData>
  <autoFilter ref="A3:B7" xr:uid="{433B2665-E252-408F-AA63-0ACE47FFE970}"/>
  <hyperlinks>
    <hyperlink ref="A1" location="'Table of Contents'!A1" display="TOC" xr:uid="{B025F47D-E4DA-456C-BA98-C43ABB5D665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EB02-6F57-4A9A-B660-22B8E599119E}">
  <dimension ref="A1:C33"/>
  <sheetViews>
    <sheetView workbookViewId="0">
      <selection activeCell="C33" sqref="C4:C33"/>
    </sheetView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67</v>
      </c>
      <c r="B2" s="1" t="s">
        <v>1</v>
      </c>
      <c r="C2" s="1" t="s">
        <v>68</v>
      </c>
    </row>
    <row r="3" spans="1:3" x14ac:dyDescent="0.3">
      <c r="A3" s="1" t="s">
        <v>3</v>
      </c>
      <c r="B3" s="1" t="s">
        <v>27</v>
      </c>
      <c r="C3" s="1" t="s">
        <v>4</v>
      </c>
    </row>
    <row r="4" spans="1:3" x14ac:dyDescent="0.3">
      <c r="A4" s="1" t="s">
        <v>5</v>
      </c>
      <c r="B4" s="1" t="s">
        <v>5</v>
      </c>
      <c r="C4" s="3">
        <v>0.76614417267002721</v>
      </c>
    </row>
    <row r="5" spans="1:3" x14ac:dyDescent="0.3">
      <c r="A5" s="1" t="s">
        <v>5</v>
      </c>
      <c r="B5" s="1" t="s">
        <v>6</v>
      </c>
      <c r="C5" s="3">
        <v>0.8925014745884523</v>
      </c>
    </row>
    <row r="6" spans="1:3" x14ac:dyDescent="0.3">
      <c r="A6" s="1" t="s">
        <v>5</v>
      </c>
      <c r="B6" s="1" t="s">
        <v>7</v>
      </c>
      <c r="C6" s="3">
        <v>1.6754400829866092E-2</v>
      </c>
    </row>
    <row r="7" spans="1:3" x14ac:dyDescent="0.3">
      <c r="A7" s="1" t="s">
        <v>5</v>
      </c>
      <c r="B7" s="1" t="s">
        <v>8</v>
      </c>
      <c r="C7" s="3">
        <v>6.4134112443451959E-3</v>
      </c>
    </row>
    <row r="8" spans="1:3" x14ac:dyDescent="0.3">
      <c r="A8" s="1" t="s">
        <v>5</v>
      </c>
      <c r="B8" s="1" t="s">
        <v>9</v>
      </c>
      <c r="C8" s="3">
        <v>4.2571608100665893E-4</v>
      </c>
    </row>
    <row r="9" spans="1:3" x14ac:dyDescent="0.3">
      <c r="A9" s="1" t="s">
        <v>5</v>
      </c>
      <c r="B9" s="1" t="s">
        <v>10</v>
      </c>
      <c r="C9" s="3">
        <v>4.2571608100665898E-4</v>
      </c>
    </row>
    <row r="10" spans="1:3" x14ac:dyDescent="0.3">
      <c r="A10" s="1" t="s">
        <v>6</v>
      </c>
      <c r="B10" s="1" t="s">
        <v>5</v>
      </c>
      <c r="C10" s="3">
        <v>4.7010842692021618E-2</v>
      </c>
    </row>
    <row r="11" spans="1:3" x14ac:dyDescent="0.3">
      <c r="A11" s="1" t="s">
        <v>6</v>
      </c>
      <c r="B11" s="1" t="s">
        <v>6</v>
      </c>
      <c r="C11" s="3">
        <v>6.2296823624955477E-2</v>
      </c>
    </row>
    <row r="12" spans="1:3" x14ac:dyDescent="0.3">
      <c r="A12" s="1" t="s">
        <v>6</v>
      </c>
      <c r="B12" s="1" t="s">
        <v>7</v>
      </c>
      <c r="C12" s="3">
        <v>1.0125145850432508E-3</v>
      </c>
    </row>
    <row r="13" spans="1:3" x14ac:dyDescent="0.3">
      <c r="A13" s="1" t="s">
        <v>6</v>
      </c>
      <c r="B13" s="1" t="s">
        <v>8</v>
      </c>
      <c r="C13" s="3">
        <v>1.5559540908471779E-2</v>
      </c>
    </row>
    <row r="14" spans="1:3" x14ac:dyDescent="0.3">
      <c r="A14" s="1" t="s">
        <v>6</v>
      </c>
      <c r="B14" s="1" t="s">
        <v>9</v>
      </c>
      <c r="C14" s="3">
        <v>2.7237117798934995E-5</v>
      </c>
    </row>
    <row r="15" spans="1:3" x14ac:dyDescent="0.3">
      <c r="A15" s="1" t="s">
        <v>6</v>
      </c>
      <c r="B15" s="1" t="s">
        <v>10</v>
      </c>
      <c r="C15" s="3">
        <v>2.7237117798934998E-5</v>
      </c>
    </row>
    <row r="16" spans="1:3" x14ac:dyDescent="0.3">
      <c r="A16" s="1" t="s">
        <v>7</v>
      </c>
      <c r="B16" s="1" t="s">
        <v>5</v>
      </c>
      <c r="C16" s="3">
        <v>0.14508428245215846</v>
      </c>
    </row>
    <row r="17" spans="1:3" x14ac:dyDescent="0.3">
      <c r="A17" s="1" t="s">
        <v>7</v>
      </c>
      <c r="B17" s="1" t="s">
        <v>6</v>
      </c>
      <c r="C17" s="3">
        <v>2.8366997173560466E-2</v>
      </c>
    </row>
    <row r="18" spans="1:3" x14ac:dyDescent="0.3">
      <c r="A18" s="1" t="s">
        <v>7</v>
      </c>
      <c r="B18" s="1" t="s">
        <v>7</v>
      </c>
      <c r="C18" s="3">
        <v>0.59865775322332904</v>
      </c>
    </row>
    <row r="19" spans="1:3" x14ac:dyDescent="0.3">
      <c r="A19" s="1" t="s">
        <v>7</v>
      </c>
      <c r="B19" s="1" t="s">
        <v>8</v>
      </c>
      <c r="C19" s="3">
        <v>0.28580954599407782</v>
      </c>
    </row>
    <row r="20" spans="1:3" x14ac:dyDescent="0.3">
      <c r="A20" s="1" t="s">
        <v>7</v>
      </c>
      <c r="B20" s="1" t="s">
        <v>9</v>
      </c>
      <c r="C20" s="3">
        <v>0.18623552498406148</v>
      </c>
    </row>
    <row r="21" spans="1:3" x14ac:dyDescent="0.3">
      <c r="A21" s="1" t="s">
        <v>7</v>
      </c>
      <c r="B21" s="1" t="s">
        <v>10</v>
      </c>
      <c r="C21" s="3">
        <v>0.18623552498406151</v>
      </c>
    </row>
    <row r="22" spans="1:3" x14ac:dyDescent="0.3">
      <c r="A22" s="1" t="s">
        <v>20</v>
      </c>
      <c r="B22" s="1" t="s">
        <v>5</v>
      </c>
      <c r="C22" s="3">
        <v>8.48271867440515E-3</v>
      </c>
    </row>
    <row r="23" spans="1:3" x14ac:dyDescent="0.3">
      <c r="A23" s="1" t="s">
        <v>20</v>
      </c>
      <c r="B23" s="1" t="s">
        <v>6</v>
      </c>
      <c r="C23" s="3">
        <v>3.9955623382956895E-3</v>
      </c>
    </row>
    <row r="24" spans="1:3" x14ac:dyDescent="0.3">
      <c r="A24" s="1" t="s">
        <v>20</v>
      </c>
      <c r="B24" s="1" t="s">
        <v>7</v>
      </c>
      <c r="C24" s="3">
        <v>9.149368930864557E-2</v>
      </c>
    </row>
    <row r="25" spans="1:3" x14ac:dyDescent="0.3">
      <c r="A25" s="1" t="s">
        <v>20</v>
      </c>
      <c r="B25" s="1" t="s">
        <v>8</v>
      </c>
      <c r="C25" s="3">
        <v>8.437043772989393E-2</v>
      </c>
    </row>
    <row r="26" spans="1:3" x14ac:dyDescent="0.3">
      <c r="A26" s="1" t="s">
        <v>20</v>
      </c>
      <c r="B26" s="1" t="s">
        <v>9</v>
      </c>
      <c r="C26" s="3">
        <v>6.7224824661500621E-2</v>
      </c>
    </row>
    <row r="27" spans="1:3" x14ac:dyDescent="0.3">
      <c r="A27" s="1" t="s">
        <v>20</v>
      </c>
      <c r="B27" s="1" t="s">
        <v>10</v>
      </c>
      <c r="C27" s="3">
        <v>6.7224824661500621E-2</v>
      </c>
    </row>
    <row r="28" spans="1:3" x14ac:dyDescent="0.3">
      <c r="A28" s="1" t="s">
        <v>8</v>
      </c>
      <c r="B28" s="1" t="s">
        <v>5</v>
      </c>
      <c r="C28" s="3">
        <v>3.3277983511387513E-2</v>
      </c>
    </row>
    <row r="29" spans="1:3" x14ac:dyDescent="0.3">
      <c r="A29" s="1" t="s">
        <v>8</v>
      </c>
      <c r="B29" s="1" t="s">
        <v>6</v>
      </c>
      <c r="C29" s="3">
        <v>1.2839142274736157E-2</v>
      </c>
    </row>
    <row r="30" spans="1:3" x14ac:dyDescent="0.3">
      <c r="A30" s="1" t="s">
        <v>8</v>
      </c>
      <c r="B30" s="1" t="s">
        <v>7</v>
      </c>
      <c r="C30" s="3">
        <v>0.29208164205311604</v>
      </c>
    </row>
    <row r="31" spans="1:3" x14ac:dyDescent="0.3">
      <c r="A31" s="1" t="s">
        <v>8</v>
      </c>
      <c r="B31" s="1" t="s">
        <v>8</v>
      </c>
      <c r="C31" s="3">
        <v>0.60784706412321121</v>
      </c>
    </row>
    <row r="32" spans="1:3" x14ac:dyDescent="0.3">
      <c r="A32" s="1" t="s">
        <v>8</v>
      </c>
      <c r="B32" s="1" t="s">
        <v>9</v>
      </c>
      <c r="C32" s="3">
        <v>0.74608669715563236</v>
      </c>
    </row>
    <row r="33" spans="1:3" x14ac:dyDescent="0.3">
      <c r="A33" s="1" t="s">
        <v>8</v>
      </c>
      <c r="B33" s="1" t="s">
        <v>10</v>
      </c>
      <c r="C33" s="3">
        <v>0.74608669715563225</v>
      </c>
    </row>
  </sheetData>
  <autoFilter ref="A3:C33" xr:uid="{D121EB02-6F57-4A9A-B660-22B8E599119E}"/>
  <hyperlinks>
    <hyperlink ref="A1" location="'Table of Contents'!A1" display="TOC" xr:uid="{FE3C13AD-07CB-4D42-9788-C1260BC90E5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2FC0-AC99-4ABF-B704-1DC9F255CFD7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65</v>
      </c>
      <c r="B2" s="1" t="s">
        <v>1</v>
      </c>
      <c r="C2" s="1" t="s">
        <v>66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0.6442741030260295</v>
      </c>
    </row>
    <row r="5" spans="1:3" x14ac:dyDescent="0.3">
      <c r="A5" s="1" t="s">
        <v>6</v>
      </c>
      <c r="B5">
        <v>0.49395089361001832</v>
      </c>
    </row>
    <row r="6" spans="1:3" x14ac:dyDescent="0.3">
      <c r="A6" s="1" t="s">
        <v>7</v>
      </c>
      <c r="B6">
        <v>0.49395089361001898</v>
      </c>
    </row>
    <row r="7" spans="1:3" x14ac:dyDescent="0.3">
      <c r="A7" s="1" t="s">
        <v>8</v>
      </c>
      <c r="B7">
        <v>3.0671087385132429E-2</v>
      </c>
    </row>
  </sheetData>
  <autoFilter ref="A3:B7" xr:uid="{0BB32FC0-AC99-4ABF-B704-1DC9F255CFD7}"/>
  <hyperlinks>
    <hyperlink ref="A1" location="'Table of Contents'!A1" display="TOC" xr:uid="{477ECAF9-97F8-4E80-A9B8-072D091FAC6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7248-6C0B-46C0-9CCF-F983C9B92F76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63</v>
      </c>
      <c r="B2" s="1" t="s">
        <v>1</v>
      </c>
      <c r="C2" s="1" t="s">
        <v>64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6.9143281562470857</v>
      </c>
    </row>
    <row r="5" spans="1:3" x14ac:dyDescent="0.3">
      <c r="A5" s="1" t="s">
        <v>6</v>
      </c>
      <c r="B5">
        <v>2.6019360659959272</v>
      </c>
    </row>
    <row r="6" spans="1:3" x14ac:dyDescent="0.3">
      <c r="A6" s="1" t="s">
        <v>7</v>
      </c>
      <c r="B6">
        <v>2.0488121836702611</v>
      </c>
    </row>
    <row r="7" spans="1:3" x14ac:dyDescent="0.3">
      <c r="A7" s="1" t="s">
        <v>8</v>
      </c>
      <c r="B7">
        <v>3.729387339649981</v>
      </c>
    </row>
  </sheetData>
  <autoFilter ref="A3:B7" xr:uid="{7C967248-6C0B-46C0-9CCF-F983C9B92F76}"/>
  <hyperlinks>
    <hyperlink ref="A1" location="'Table of Contents'!A1" display="TOC" xr:uid="{102AC744-BCBE-4189-AFFE-A770FD4C88E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E693-4508-4BC7-B4F1-16644FC0ED90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61</v>
      </c>
      <c r="B2" s="1" t="s">
        <v>1</v>
      </c>
      <c r="C2" s="1" t="s">
        <v>62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1.0563654736926593</v>
      </c>
    </row>
    <row r="5" spans="1:3" x14ac:dyDescent="0.3">
      <c r="A5" s="1" t="s">
        <v>6</v>
      </c>
      <c r="B5">
        <v>1.5971710642108279</v>
      </c>
    </row>
    <row r="6" spans="1:3" x14ac:dyDescent="0.3">
      <c r="A6" s="1" t="s">
        <v>7</v>
      </c>
      <c r="B6">
        <v>1.8441520458379619</v>
      </c>
    </row>
    <row r="7" spans="1:3" x14ac:dyDescent="0.3">
      <c r="A7" s="1" t="s">
        <v>8</v>
      </c>
      <c r="B7">
        <v>1.3278707517387143</v>
      </c>
    </row>
  </sheetData>
  <autoFilter ref="A3:B7" xr:uid="{3B26E693-4508-4BC7-B4F1-16644FC0ED90}"/>
  <hyperlinks>
    <hyperlink ref="A1" location="'Table of Contents'!A1" display="TOC" xr:uid="{CFB0C1C1-9104-455A-9EBB-16D2E2FE90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ED07-0EEF-4CA8-AF72-EA20EC89F0AB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59</v>
      </c>
      <c r="B2" s="1" t="s">
        <v>1</v>
      </c>
      <c r="C2" s="1" t="s">
        <v>60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0.99697253974075672</v>
      </c>
    </row>
    <row r="5" spans="1:3" x14ac:dyDescent="0.3">
      <c r="A5" s="1" t="s">
        <v>6</v>
      </c>
      <c r="B5">
        <v>0.90206720150118358</v>
      </c>
    </row>
    <row r="6" spans="1:3" x14ac:dyDescent="0.3">
      <c r="A6" s="1" t="s">
        <v>7</v>
      </c>
      <c r="B6">
        <v>0.34647348618199247</v>
      </c>
    </row>
    <row r="7" spans="1:3" x14ac:dyDescent="0.3">
      <c r="A7" s="1" t="s">
        <v>8</v>
      </c>
      <c r="B7">
        <v>0.97555131557673991</v>
      </c>
    </row>
  </sheetData>
  <autoFilter ref="A3:B7" xr:uid="{4229ED07-0EEF-4CA8-AF72-EA20EC89F0AB}"/>
  <hyperlinks>
    <hyperlink ref="A1" location="'Table of Contents'!A1" display="TOC" xr:uid="{F53924F2-D209-4501-B5FC-2C7F86CE3CC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5C01-25D3-4A67-A9C9-8E93DB57CD4E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57</v>
      </c>
      <c r="B2" s="1" t="s">
        <v>1</v>
      </c>
      <c r="C2" s="1" t="s">
        <v>58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5.1717876305319857E-3</v>
      </c>
    </row>
    <row r="5" spans="1:3" x14ac:dyDescent="0.3">
      <c r="A5" s="1" t="s">
        <v>6</v>
      </c>
      <c r="B5">
        <v>0.15049979815947298</v>
      </c>
    </row>
    <row r="6" spans="1:3" x14ac:dyDescent="0.3">
      <c r="A6" s="1" t="s">
        <v>7</v>
      </c>
      <c r="B6">
        <v>0.72180668777578794</v>
      </c>
    </row>
    <row r="7" spans="1:3" x14ac:dyDescent="0.3">
      <c r="A7" s="1" t="s">
        <v>8</v>
      </c>
      <c r="B7">
        <v>6.1078129404774049E-2</v>
      </c>
    </row>
  </sheetData>
  <autoFilter ref="A3:B7" xr:uid="{AFDF5C01-25D3-4A67-A9C9-8E93DB57CD4E}"/>
  <hyperlinks>
    <hyperlink ref="A1" location="'Table of Contents'!A1" display="TOC" xr:uid="{F89410DE-1E8A-4DAA-87BF-4407AE416D3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6BDF-1BE7-40DC-969D-8D56F00733A4}">
  <dimension ref="A1:C13"/>
  <sheetViews>
    <sheetView workbookViewId="0">
      <selection activeCell="C10" sqref="C10"/>
    </sheetView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55</v>
      </c>
      <c r="B2" s="1" t="s">
        <v>1</v>
      </c>
      <c r="C2" s="1" t="s">
        <v>56</v>
      </c>
    </row>
    <row r="3" spans="1:3" x14ac:dyDescent="0.3">
      <c r="A3" s="1" t="s">
        <v>3</v>
      </c>
      <c r="B3" s="1" t="s">
        <v>27</v>
      </c>
      <c r="C3" s="1" t="s">
        <v>4</v>
      </c>
    </row>
    <row r="4" spans="1:3" x14ac:dyDescent="0.3">
      <c r="A4" s="1" t="s">
        <v>5</v>
      </c>
      <c r="B4" s="1" t="s">
        <v>14</v>
      </c>
      <c r="C4">
        <v>0.25311645410741584</v>
      </c>
    </row>
    <row r="5" spans="1:3" x14ac:dyDescent="0.3">
      <c r="A5" s="1" t="s">
        <v>5</v>
      </c>
      <c r="B5" s="1" t="s">
        <v>15</v>
      </c>
      <c r="C5">
        <v>0.23850179362660809</v>
      </c>
    </row>
    <row r="6" spans="1:3" x14ac:dyDescent="0.3">
      <c r="A6" s="1" t="s">
        <v>6</v>
      </c>
      <c r="B6" s="1" t="s">
        <v>14</v>
      </c>
      <c r="C6">
        <v>0.38821178002345158</v>
      </c>
    </row>
    <row r="7" spans="1:3" x14ac:dyDescent="0.3">
      <c r="A7" s="1" t="s">
        <v>6</v>
      </c>
      <c r="B7" s="1" t="s">
        <v>15</v>
      </c>
      <c r="C7">
        <v>0.4235357464271553</v>
      </c>
    </row>
    <row r="8" spans="1:3" x14ac:dyDescent="0.3">
      <c r="A8" s="1" t="s">
        <v>7</v>
      </c>
      <c r="B8" s="1" t="s">
        <v>14</v>
      </c>
      <c r="C8">
        <v>0.11473464958256328</v>
      </c>
    </row>
    <row r="9" spans="1:3" x14ac:dyDescent="0.3">
      <c r="A9" s="1" t="s">
        <v>7</v>
      </c>
      <c r="B9" s="1" t="s">
        <v>15</v>
      </c>
      <c r="C9">
        <v>0.10810999945878261</v>
      </c>
    </row>
    <row r="10" spans="1:3" x14ac:dyDescent="0.3">
      <c r="A10" s="1" t="s">
        <v>20</v>
      </c>
      <c r="B10" s="1" t="s">
        <v>14</v>
      </c>
      <c r="C10">
        <v>1.0683837875082997E-3</v>
      </c>
    </row>
    <row r="11" spans="1:3" x14ac:dyDescent="0.3">
      <c r="A11" s="1" t="s">
        <v>20</v>
      </c>
      <c r="B11" s="1" t="s">
        <v>15</v>
      </c>
      <c r="C11">
        <v>1.0066965045827613E-3</v>
      </c>
    </row>
    <row r="12" spans="1:3" x14ac:dyDescent="0.3">
      <c r="A12" s="1" t="s">
        <v>8</v>
      </c>
      <c r="B12" s="1" t="s">
        <v>14</v>
      </c>
      <c r="C12">
        <v>0.24286873249906096</v>
      </c>
    </row>
    <row r="13" spans="1:3" x14ac:dyDescent="0.3">
      <c r="A13" s="1" t="s">
        <v>8</v>
      </c>
      <c r="B13" s="1" t="s">
        <v>15</v>
      </c>
      <c r="C13">
        <v>0.22884576398287115</v>
      </c>
    </row>
  </sheetData>
  <autoFilter ref="A3:C13" xr:uid="{49DD6BDF-1BE7-40DC-969D-8D56F00733A4}"/>
  <hyperlinks>
    <hyperlink ref="A1" location="'Table of Contents'!A1" display="TOC" xr:uid="{5F162479-AAFE-4B58-9C73-8818A5A86FE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CA72-9C49-4BAD-98C9-30BF66A03331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53</v>
      </c>
      <c r="B2" s="1" t="s">
        <v>1</v>
      </c>
      <c r="C2" s="1" t="s">
        <v>54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7</v>
      </c>
      <c r="B4">
        <v>0.25649141254152685</v>
      </c>
    </row>
    <row r="5" spans="1:3" x14ac:dyDescent="0.3">
      <c r="A5" s="1" t="s">
        <v>8</v>
      </c>
      <c r="B5">
        <v>0.74350858745847304</v>
      </c>
    </row>
  </sheetData>
  <autoFilter ref="A3:B5" xr:uid="{E890CA72-9C49-4BAD-98C9-30BF66A03331}"/>
  <hyperlinks>
    <hyperlink ref="A1" location="'Table of Contents'!A1" display="TOC" xr:uid="{FFABAF15-DE65-4E55-A9BA-C530AA6B3D0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9C8A-2B4E-4337-9273-2A1E392F4970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51</v>
      </c>
      <c r="B2" s="1" t="s">
        <v>1</v>
      </c>
      <c r="C2" s="1" t="s">
        <v>52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0.25007279108177777</v>
      </c>
    </row>
    <row r="5" spans="1:3" x14ac:dyDescent="0.3">
      <c r="A5" s="1" t="s">
        <v>6</v>
      </c>
      <c r="B5">
        <v>0.59437568428741216</v>
      </c>
    </row>
    <row r="6" spans="1:3" x14ac:dyDescent="0.3">
      <c r="A6" s="1" t="s">
        <v>7</v>
      </c>
      <c r="B6">
        <v>0.4131432649345157</v>
      </c>
    </row>
    <row r="7" spans="1:3" x14ac:dyDescent="0.3">
      <c r="A7" s="1" t="s">
        <v>8</v>
      </c>
      <c r="B7">
        <v>0.3460143899253742</v>
      </c>
    </row>
    <row r="8" spans="1:3" x14ac:dyDescent="0.3">
      <c r="A8" s="1" t="s">
        <v>9</v>
      </c>
      <c r="B8">
        <v>0.12956140766528301</v>
      </c>
    </row>
    <row r="9" spans="1:3" x14ac:dyDescent="0.3">
      <c r="A9" s="1" t="s">
        <v>10</v>
      </c>
      <c r="B9">
        <v>1.2413913756150148E-2</v>
      </c>
    </row>
  </sheetData>
  <autoFilter ref="A3:B9" xr:uid="{27AA9C8A-2B4E-4337-9273-2A1E392F4970}"/>
  <hyperlinks>
    <hyperlink ref="A1" location="'Table of Contents'!A1" display="TOC" xr:uid="{33F1BB41-77DE-4815-A2AD-BB351D4A4CA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25F2-4DFC-4748-BF36-0753C618BBD1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49</v>
      </c>
      <c r="B2" s="1" t="s">
        <v>1</v>
      </c>
      <c r="C2" s="1" t="s">
        <v>50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14</v>
      </c>
      <c r="B4">
        <v>3.8354985140882376E-2</v>
      </c>
    </row>
    <row r="5" spans="1:3" x14ac:dyDescent="0.3">
      <c r="A5" s="1" t="s">
        <v>15</v>
      </c>
      <c r="B5">
        <v>0.25106170216114648</v>
      </c>
    </row>
  </sheetData>
  <autoFilter ref="A3:B5" xr:uid="{CFAC25F2-4DFC-4748-BF36-0753C618BBD1}"/>
  <hyperlinks>
    <hyperlink ref="A1" location="'Table of Contents'!A1" display="TOC" xr:uid="{7B605BBC-9E82-419B-944C-02F11E2F197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DC01-2263-4487-9A70-AA8974DD32B7}">
  <dimension ref="A1:C6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46</v>
      </c>
      <c r="B2" s="1" t="s">
        <v>1</v>
      </c>
      <c r="C2" s="1" t="s">
        <v>47</v>
      </c>
    </row>
    <row r="3" spans="1:3" x14ac:dyDescent="0.3">
      <c r="A3" s="1" t="s">
        <v>3</v>
      </c>
      <c r="B3" s="1" t="s">
        <v>27</v>
      </c>
      <c r="C3" s="1" t="s">
        <v>4</v>
      </c>
    </row>
    <row r="4" spans="1:3" x14ac:dyDescent="0.3">
      <c r="A4" s="1" t="s">
        <v>14</v>
      </c>
      <c r="B4" s="1" t="s">
        <v>48</v>
      </c>
      <c r="C4">
        <v>3.9271081048580993E-2</v>
      </c>
    </row>
    <row r="5" spans="1:3" x14ac:dyDescent="0.3">
      <c r="A5" s="1" t="s">
        <v>15</v>
      </c>
      <c r="B5" s="1" t="s">
        <v>48</v>
      </c>
      <c r="C5">
        <v>0.66303187225907367</v>
      </c>
    </row>
    <row r="6" spans="1:3" x14ac:dyDescent="0.3">
      <c r="A6" s="1" t="s">
        <v>31</v>
      </c>
      <c r="B6" s="1" t="s">
        <v>48</v>
      </c>
      <c r="C6">
        <v>0.22062822820494912</v>
      </c>
    </row>
  </sheetData>
  <autoFilter ref="A3:C6" xr:uid="{60EADC01-2263-4487-9A70-AA8974DD32B7}"/>
  <hyperlinks>
    <hyperlink ref="A1" location="'Table of Contents'!A1" display="TOC" xr:uid="{E0DECC30-B136-4E84-B138-7CA1DAB0D23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B252-4CBB-4545-BE07-C6B2DDD85B9F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44</v>
      </c>
      <c r="B2" s="1" t="s">
        <v>1</v>
      </c>
      <c r="C2" s="1" t="s">
        <v>45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14</v>
      </c>
      <c r="B4">
        <v>1.0670858019712045E-2</v>
      </c>
    </row>
    <row r="5" spans="1:3" x14ac:dyDescent="0.3">
      <c r="A5" s="1" t="s">
        <v>15</v>
      </c>
      <c r="B5">
        <v>1.0654557463309868E-2</v>
      </c>
    </row>
  </sheetData>
  <autoFilter ref="A3:B5" xr:uid="{743EB252-4CBB-4545-BE07-C6B2DDD85B9F}"/>
  <hyperlinks>
    <hyperlink ref="A1" location="'Table of Contents'!A1" display="TOC" xr:uid="{20DEC234-4A83-4739-82ED-AD03BCD62E3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E265-31DC-42A2-BFD1-356F2931167C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42</v>
      </c>
      <c r="B2" s="1" t="s">
        <v>1</v>
      </c>
      <c r="C2" s="1" t="s">
        <v>43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14</v>
      </c>
      <c r="B4">
        <v>0.54087149284374536</v>
      </c>
    </row>
    <row r="5" spans="1:3" x14ac:dyDescent="0.3">
      <c r="A5" s="1" t="s">
        <v>15</v>
      </c>
      <c r="B5">
        <v>0.4535586206855588</v>
      </c>
    </row>
  </sheetData>
  <autoFilter ref="A3:B5" xr:uid="{ED30E265-31DC-42A2-BFD1-356F2931167C}"/>
  <hyperlinks>
    <hyperlink ref="A1" location="'Table of Contents'!A1" display="TOC" xr:uid="{EDF50771-3C95-4B0F-8ABA-3E260B7B4E08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9DC1-0C3E-4CC9-AFDF-ADDA693EDE1A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40</v>
      </c>
      <c r="B2" s="1" t="s">
        <v>1</v>
      </c>
      <c r="C2" s="1" t="s">
        <v>41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14</v>
      </c>
      <c r="B4">
        <v>0.18515310515335734</v>
      </c>
    </row>
    <row r="5" spans="1:3" x14ac:dyDescent="0.3">
      <c r="A5" s="1" t="s">
        <v>15</v>
      </c>
      <c r="B5">
        <v>0.17366297568744657</v>
      </c>
    </row>
  </sheetData>
  <autoFilter ref="A3:B5" xr:uid="{81179DC1-0C3E-4CC9-AFDF-ADDA693EDE1A}"/>
  <hyperlinks>
    <hyperlink ref="A1" location="'Table of Contents'!A1" display="TOC" xr:uid="{81BCD177-689B-49D0-A043-E9F903FD2C9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118F-2F15-4C70-A7E5-E9806E2AE2BA}">
  <dimension ref="A1:C13"/>
  <sheetViews>
    <sheetView tabSelected="1" workbookViewId="0">
      <selection activeCell="C14" sqref="C14"/>
    </sheetView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38</v>
      </c>
      <c r="B2" s="1" t="s">
        <v>1</v>
      </c>
      <c r="C2" s="1" t="s">
        <v>39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3.0618556701030926</v>
      </c>
    </row>
    <row r="5" spans="1:3" x14ac:dyDescent="0.3">
      <c r="A5" s="1" t="s">
        <v>6</v>
      </c>
      <c r="B5">
        <v>3.0618556701030926</v>
      </c>
    </row>
    <row r="6" spans="1:3" x14ac:dyDescent="0.3">
      <c r="A6" s="1" t="s">
        <v>7</v>
      </c>
      <c r="B6">
        <v>3.0618556701030926</v>
      </c>
    </row>
    <row r="7" spans="1:3" x14ac:dyDescent="0.3">
      <c r="A7" s="1" t="s">
        <v>8</v>
      </c>
      <c r="B7">
        <v>3.0618556701030926</v>
      </c>
    </row>
    <row r="13" spans="1:3" x14ac:dyDescent="0.3">
      <c r="C13">
        <f>1/(1-B7)</f>
        <v>-0.48500000000000004</v>
      </c>
    </row>
  </sheetData>
  <autoFilter ref="A3:B7" xr:uid="{2D61118F-2F15-4C70-A7E5-E9806E2AE2BA}"/>
  <hyperlinks>
    <hyperlink ref="A1" location="'Table of Contents'!A1" display="TOC" xr:uid="{B4DF38BA-D209-461F-8D22-DD6174ACDF3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8810-2827-426B-B823-0015D347013B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36</v>
      </c>
      <c r="B2" s="1" t="s">
        <v>1</v>
      </c>
      <c r="C2" s="1" t="s">
        <v>37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0.26742712294043086</v>
      </c>
    </row>
    <row r="5" spans="1:3" x14ac:dyDescent="0.3">
      <c r="A5" s="1" t="s">
        <v>6</v>
      </c>
      <c r="B5">
        <v>0.26742712294043086</v>
      </c>
    </row>
    <row r="6" spans="1:3" x14ac:dyDescent="0.3">
      <c r="A6" s="1" t="s">
        <v>7</v>
      </c>
      <c r="B6">
        <v>0.26742712294043086</v>
      </c>
    </row>
    <row r="7" spans="1:3" x14ac:dyDescent="0.3">
      <c r="A7" s="1" t="s">
        <v>8</v>
      </c>
      <c r="B7">
        <v>0.26742712294043086</v>
      </c>
    </row>
  </sheetData>
  <autoFilter ref="A3:B7" xr:uid="{F8FB8810-2827-426B-B823-0015D347013B}"/>
  <hyperlinks>
    <hyperlink ref="A1" location="'Table of Contents'!A1" display="TOC" xr:uid="{E2B58FF6-AAE4-480B-ABD2-48356638FFF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F41D-58EB-4E7D-9C7E-C83C2FB3BE1C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34</v>
      </c>
      <c r="B2" s="1" t="s">
        <v>1</v>
      </c>
      <c r="C2" s="1" t="s">
        <v>35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0.48499999999999999</v>
      </c>
    </row>
    <row r="5" spans="1:3" x14ac:dyDescent="0.3">
      <c r="A5" s="1" t="s">
        <v>6</v>
      </c>
      <c r="B5">
        <v>0.48499999999999999</v>
      </c>
    </row>
    <row r="6" spans="1:3" x14ac:dyDescent="0.3">
      <c r="A6" s="1" t="s">
        <v>7</v>
      </c>
      <c r="B6">
        <v>0.48499999999999999</v>
      </c>
    </row>
    <row r="7" spans="1:3" x14ac:dyDescent="0.3">
      <c r="A7" s="1" t="s">
        <v>8</v>
      </c>
      <c r="B7">
        <v>0.48499999999999999</v>
      </c>
    </row>
  </sheetData>
  <autoFilter ref="A3:B7" xr:uid="{7320F41D-58EB-4E7D-9C7E-C83C2FB3BE1C}"/>
  <hyperlinks>
    <hyperlink ref="A1" location="'Table of Contents'!A1" display="TOC" xr:uid="{F2B472F0-270C-4FF3-ACE3-9074A610731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C93D-F05B-4CF6-9BC2-51C82D74D632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32</v>
      </c>
      <c r="B2" s="1" t="s">
        <v>1</v>
      </c>
      <c r="C2" s="1" t="s">
        <v>33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0.78900000000000003</v>
      </c>
    </row>
    <row r="5" spans="1:3" x14ac:dyDescent="0.3">
      <c r="A5" s="1" t="s">
        <v>6</v>
      </c>
      <c r="B5">
        <v>0.78900000000000003</v>
      </c>
    </row>
    <row r="6" spans="1:3" x14ac:dyDescent="0.3">
      <c r="A6" s="1" t="s">
        <v>7</v>
      </c>
      <c r="B6">
        <v>0.78900000000000003</v>
      </c>
    </row>
    <row r="7" spans="1:3" x14ac:dyDescent="0.3">
      <c r="A7" s="1" t="s">
        <v>8</v>
      </c>
      <c r="B7">
        <v>0.78900000000000003</v>
      </c>
    </row>
  </sheetData>
  <autoFilter ref="A3:B7" xr:uid="{DEDFC93D-F05B-4CF6-9BC2-51C82D74D632}"/>
  <hyperlinks>
    <hyperlink ref="A1" location="'Table of Contents'!A1" display="TOC" xr:uid="{BC33864C-73CC-490E-A13B-95EE4FBDF99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5F44-842E-4CE5-ADEF-451D9FAD167B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28</v>
      </c>
      <c r="B2" s="1" t="s">
        <v>1</v>
      </c>
      <c r="C2" s="1" t="s">
        <v>29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30</v>
      </c>
      <c r="B4">
        <v>5.4135409913947934E-2</v>
      </c>
    </row>
    <row r="5" spans="1:3" x14ac:dyDescent="0.3">
      <c r="A5" s="1" t="s">
        <v>31</v>
      </c>
      <c r="B5">
        <v>0.94586459008605206</v>
      </c>
    </row>
  </sheetData>
  <autoFilter ref="A3:B5" xr:uid="{331E5F44-842E-4CE5-ADEF-451D9FAD167B}"/>
  <hyperlinks>
    <hyperlink ref="A1" location="'Table of Contents'!A1" display="TOC" xr:uid="{29D139FF-D90B-4BE2-AED5-2704C9A0A06B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D1CC-64D5-4828-9D1F-297389A5BAD3}">
  <dimension ref="A1:C14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25</v>
      </c>
      <c r="B2" s="1" t="s">
        <v>1</v>
      </c>
      <c r="C2" s="1" t="s">
        <v>26</v>
      </c>
    </row>
    <row r="3" spans="1:3" x14ac:dyDescent="0.3">
      <c r="A3" s="1" t="s">
        <v>3</v>
      </c>
      <c r="B3" s="1" t="s">
        <v>27</v>
      </c>
      <c r="C3" s="1" t="s">
        <v>4</v>
      </c>
    </row>
    <row r="4" spans="1:3" x14ac:dyDescent="0.3">
      <c r="A4" s="1" t="s">
        <v>5</v>
      </c>
      <c r="B4" s="1" t="s">
        <v>5</v>
      </c>
      <c r="C4">
        <v>0.85685318106812924</v>
      </c>
    </row>
    <row r="5" spans="1:3" x14ac:dyDescent="0.3">
      <c r="A5" s="1" t="s">
        <v>6</v>
      </c>
      <c r="B5" s="1" t="s">
        <v>5</v>
      </c>
      <c r="C5">
        <v>0.10082379144230999</v>
      </c>
    </row>
    <row r="6" spans="1:3" x14ac:dyDescent="0.3">
      <c r="A6" s="1" t="s">
        <v>6</v>
      </c>
      <c r="B6" s="1" t="s">
        <v>6</v>
      </c>
      <c r="C6">
        <v>0.99982643385390291</v>
      </c>
    </row>
    <row r="7" spans="1:3" x14ac:dyDescent="0.3">
      <c r="A7" s="1" t="s">
        <v>6</v>
      </c>
      <c r="B7" s="1" t="s">
        <v>8</v>
      </c>
      <c r="C7">
        <v>1.1415002435251915E-3</v>
      </c>
    </row>
    <row r="8" spans="1:3" x14ac:dyDescent="0.3">
      <c r="A8" s="1" t="s">
        <v>7</v>
      </c>
      <c r="B8" s="1" t="s">
        <v>5</v>
      </c>
      <c r="C8">
        <v>4.2204185733569197E-2</v>
      </c>
    </row>
    <row r="9" spans="1:3" x14ac:dyDescent="0.3">
      <c r="A9" s="1" t="s">
        <v>7</v>
      </c>
      <c r="B9" s="1" t="s">
        <v>7</v>
      </c>
      <c r="C9">
        <v>0.96046207916966853</v>
      </c>
    </row>
    <row r="10" spans="1:3" x14ac:dyDescent="0.3">
      <c r="A10" s="1" t="s">
        <v>7</v>
      </c>
      <c r="B10" s="1" t="s">
        <v>8</v>
      </c>
      <c r="C10">
        <v>3.0959986434887167E-3</v>
      </c>
    </row>
    <row r="11" spans="1:3" x14ac:dyDescent="0.3">
      <c r="A11" s="1" t="s">
        <v>8</v>
      </c>
      <c r="B11" s="1" t="s">
        <v>5</v>
      </c>
      <c r="C11">
        <v>1.1884175599153429E-4</v>
      </c>
    </row>
    <row r="12" spans="1:3" x14ac:dyDescent="0.3">
      <c r="A12" s="1" t="s">
        <v>8</v>
      </c>
      <c r="B12" s="1" t="s">
        <v>6</v>
      </c>
      <c r="C12">
        <v>1.7356614609713049E-4</v>
      </c>
    </row>
    <row r="13" spans="1:3" x14ac:dyDescent="0.3">
      <c r="A13" s="1" t="s">
        <v>8</v>
      </c>
      <c r="B13" s="1" t="s">
        <v>7</v>
      </c>
      <c r="C13">
        <v>3.9537920830331398E-2</v>
      </c>
    </row>
    <row r="14" spans="1:3" x14ac:dyDescent="0.3">
      <c r="A14" s="1" t="s">
        <v>8</v>
      </c>
      <c r="B14" s="1" t="s">
        <v>8</v>
      </c>
      <c r="C14">
        <v>0.99576250111298603</v>
      </c>
    </row>
  </sheetData>
  <autoFilter ref="A3:C14" xr:uid="{D502D1CC-64D5-4828-9D1F-297389A5BAD3}"/>
  <hyperlinks>
    <hyperlink ref="A1" location="'Table of Contents'!A1" display="TOC" xr:uid="{5012CD79-8011-436B-91F6-96658691B624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8DBC-A7C0-406C-952B-DB151BF856C9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23</v>
      </c>
      <c r="B2" s="1" t="s">
        <v>1</v>
      </c>
      <c r="C2" s="1" t="s">
        <v>24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0.13332737197343081</v>
      </c>
    </row>
    <row r="5" spans="1:3" x14ac:dyDescent="0.3">
      <c r="A5" s="1" t="s">
        <v>6</v>
      </c>
      <c r="B5">
        <v>0.13485117796866991</v>
      </c>
    </row>
    <row r="6" spans="1:3" x14ac:dyDescent="0.3">
      <c r="A6" s="1" t="s">
        <v>7</v>
      </c>
      <c r="B6">
        <v>0.13214752185615508</v>
      </c>
    </row>
    <row r="7" spans="1:3" x14ac:dyDescent="0.3">
      <c r="A7" s="1" t="s">
        <v>20</v>
      </c>
      <c r="B7">
        <v>0.26792688819018129</v>
      </c>
    </row>
  </sheetData>
  <autoFilter ref="A3:B7" xr:uid="{6FBE8DBC-A7C0-406C-952B-DB151BF856C9}"/>
  <hyperlinks>
    <hyperlink ref="A1" location="'Table of Contents'!A1" display="TOC" xr:uid="{B9FD3567-A6AF-47BF-9334-EE119EE1167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EBEF-F0C0-4D39-A211-128BAE65B9CA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21</v>
      </c>
      <c r="B2" s="1" t="s">
        <v>1</v>
      </c>
      <c r="C2" s="1" t="s">
        <v>22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0.15604707139671856</v>
      </c>
    </row>
    <row r="5" spans="1:3" x14ac:dyDescent="0.3">
      <c r="A5" s="1" t="s">
        <v>6</v>
      </c>
      <c r="B5">
        <v>0.15085501238202542</v>
      </c>
    </row>
    <row r="6" spans="1:3" x14ac:dyDescent="0.3">
      <c r="A6" s="1" t="s">
        <v>7</v>
      </c>
      <c r="B6">
        <v>0.15226294693505338</v>
      </c>
    </row>
    <row r="7" spans="1:3" x14ac:dyDescent="0.3">
      <c r="A7" s="1" t="s">
        <v>20</v>
      </c>
      <c r="B7">
        <v>0.1715555434733457</v>
      </c>
    </row>
  </sheetData>
  <autoFilter ref="A3:B7" xr:uid="{28F0EBEF-F0C0-4D39-A211-128BAE65B9CA}"/>
  <hyperlinks>
    <hyperlink ref="A1" location="'Table of Contents'!A1" display="TOC" xr:uid="{19AF31BC-9B36-4919-9CFF-7C60606DDAD8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1FAE-94D3-4F2B-9DE7-64983357BD62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18</v>
      </c>
      <c r="B2" s="1" t="s">
        <v>1</v>
      </c>
      <c r="C2" s="1" t="s">
        <v>19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3.7985992264548282E-2</v>
      </c>
    </row>
    <row r="5" spans="1:3" x14ac:dyDescent="0.3">
      <c r="A5" s="1" t="s">
        <v>6</v>
      </c>
      <c r="B5">
        <v>3.4662441407429224E-2</v>
      </c>
    </row>
    <row r="6" spans="1:3" x14ac:dyDescent="0.3">
      <c r="A6" s="1" t="s">
        <v>7</v>
      </c>
      <c r="B6">
        <v>3.1986917746924241E-2</v>
      </c>
    </row>
    <row r="7" spans="1:3" x14ac:dyDescent="0.3">
      <c r="A7" s="1" t="s">
        <v>20</v>
      </c>
      <c r="B7">
        <v>0.26853101550155667</v>
      </c>
    </row>
  </sheetData>
  <autoFilter ref="A3:B7" xr:uid="{E01A1FAE-94D3-4F2B-9DE7-64983357BD62}"/>
  <hyperlinks>
    <hyperlink ref="A1" location="'Table of Contents'!A1" display="TOC" xr:uid="{0A3CDA71-E941-409B-82B3-7EFA445EB7F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6CFC-7983-439A-AE0B-472488EA820E}">
  <dimension ref="A1:C7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16</v>
      </c>
      <c r="B2" s="1" t="s">
        <v>1</v>
      </c>
      <c r="C2" s="1" t="s">
        <v>17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4.6511163653400892E-3</v>
      </c>
    </row>
    <row r="5" spans="1:3" x14ac:dyDescent="0.3">
      <c r="A5" s="1" t="s">
        <v>6</v>
      </c>
      <c r="B5">
        <v>3.6592676402863109E-2</v>
      </c>
    </row>
    <row r="6" spans="1:3" x14ac:dyDescent="0.3">
      <c r="A6" s="1" t="s">
        <v>7</v>
      </c>
      <c r="B6">
        <v>1.4658050042743887E-2</v>
      </c>
    </row>
    <row r="7" spans="1:3" x14ac:dyDescent="0.3">
      <c r="A7" s="1" t="s">
        <v>8</v>
      </c>
      <c r="B7">
        <v>1.1166506195809649E-2</v>
      </c>
    </row>
  </sheetData>
  <autoFilter ref="A3:B7" xr:uid="{43CD6CFC-7983-439A-AE0B-472488EA820E}"/>
  <hyperlinks>
    <hyperlink ref="A1" location="'Table of Contents'!A1" display="TOC" xr:uid="{0DB1056D-05B6-454F-94BE-D9072334984A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8A1B-AD9D-45A4-9199-917FCE191602}">
  <dimension ref="A1:C5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12</v>
      </c>
      <c r="B2" s="1" t="s">
        <v>1</v>
      </c>
      <c r="C2" s="1" t="s">
        <v>13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14</v>
      </c>
      <c r="B4">
        <v>2.2710649739826588E-2</v>
      </c>
    </row>
    <row r="5" spans="1:3" x14ac:dyDescent="0.3">
      <c r="A5" s="1" t="s">
        <v>15</v>
      </c>
      <c r="B5">
        <v>8.3244176005085064E-3</v>
      </c>
    </row>
  </sheetData>
  <autoFilter ref="A3:B5" xr:uid="{3BA88A1B-AD9D-45A4-9199-917FCE191602}"/>
  <hyperlinks>
    <hyperlink ref="A1" location="'Table of Contents'!A1" display="TOC" xr:uid="{61A3A27A-5D2D-4B19-B57F-C655B960D46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2D1C-A05C-4137-8592-6FB11C11347E}">
  <dimension ref="A1:C9"/>
  <sheetViews>
    <sheetView workbookViewId="0"/>
  </sheetViews>
  <sheetFormatPr baseColWidth="10" defaultRowHeight="15.6" x14ac:dyDescent="0.3"/>
  <cols>
    <col min="1" max="3" width="15.6328125" customWidth="1"/>
  </cols>
  <sheetData>
    <row r="1" spans="1:3" x14ac:dyDescent="0.3">
      <c r="A1" s="2" t="s">
        <v>11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0.69566301167214939</v>
      </c>
    </row>
    <row r="5" spans="1:3" x14ac:dyDescent="0.3">
      <c r="A5" s="1" t="s">
        <v>6</v>
      </c>
      <c r="B5">
        <v>0.28133045203938423</v>
      </c>
    </row>
    <row r="6" spans="1:3" x14ac:dyDescent="0.3">
      <c r="A6" s="1" t="s">
        <v>7</v>
      </c>
      <c r="B6">
        <v>0.48473276103270629</v>
      </c>
    </row>
    <row r="7" spans="1:3" x14ac:dyDescent="0.3">
      <c r="A7" s="1" t="s">
        <v>8</v>
      </c>
      <c r="B7">
        <v>0.60007253218759515</v>
      </c>
    </row>
    <row r="8" spans="1:3" x14ac:dyDescent="0.3">
      <c r="A8" s="1" t="s">
        <v>9</v>
      </c>
      <c r="B8">
        <v>0.85608325798681606</v>
      </c>
    </row>
    <row r="9" spans="1:3" x14ac:dyDescent="0.3">
      <c r="A9" s="1" t="s">
        <v>10</v>
      </c>
      <c r="B9">
        <v>0.98621063127043718</v>
      </c>
    </row>
  </sheetData>
  <autoFilter ref="A3:B9" xr:uid="{A48D2D1C-A05C-4137-8592-6FB11C11347E}"/>
  <hyperlinks>
    <hyperlink ref="A1" location="'Table of Contents'!A1" display="TOC" xr:uid="{C7C5390A-48EB-46A2-8302-381807CEA5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29</vt:i4>
      </vt:variant>
    </vt:vector>
  </HeadingPairs>
  <TitlesOfParts>
    <vt:vector size="29" baseType="lpstr">
      <vt:lpstr>Table of Contents</vt:lpstr>
      <vt:lpstr>Scalar</vt:lpstr>
      <vt:lpstr>A</vt:lpstr>
      <vt:lpstr>aij</vt:lpstr>
      <vt:lpstr>alpha</vt:lpstr>
      <vt:lpstr>A_E</vt:lpstr>
      <vt:lpstr>A_M</vt:lpstr>
      <vt:lpstr>beta_E</vt:lpstr>
      <vt:lpstr>beta_M</vt:lpstr>
      <vt:lpstr>gamma_CH</vt:lpstr>
      <vt:lpstr>gamma_INV</vt:lpstr>
      <vt:lpstr>io</vt:lpstr>
      <vt:lpstr>lambda</vt:lpstr>
      <vt:lpstr>lambda_TRA</vt:lpstr>
      <vt:lpstr>ntyh</vt:lpstr>
      <vt:lpstr>phi</vt:lpstr>
      <vt:lpstr>psi</vt:lpstr>
      <vt:lpstr>rho_E</vt:lpstr>
      <vt:lpstr>rho_M</vt:lpstr>
      <vt:lpstr>sigma_E</vt:lpstr>
      <vt:lpstr>sigma_M</vt:lpstr>
      <vt:lpstr>sntx</vt:lpstr>
      <vt:lpstr>theta</vt:lpstr>
      <vt:lpstr>tm</vt:lpstr>
      <vt:lpstr>tmgc</vt:lpstr>
      <vt:lpstr>tmgt</vt:lpstr>
      <vt:lpstr>tx</vt:lpstr>
      <vt:lpstr>tyh</vt:lpstr>
      <vt:lpstr>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Ramaharo</dc:creator>
  <cp:lastModifiedBy>Franck Ramaharo</cp:lastModifiedBy>
  <dcterms:created xsi:type="dcterms:W3CDTF">2026-09-12T22:04:57Z</dcterms:created>
  <dcterms:modified xsi:type="dcterms:W3CDTF">2026-09-12T22:17:50Z</dcterms:modified>
</cp:coreProperties>
</file>