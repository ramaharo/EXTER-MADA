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b62cf83fca7555/Bureau/My Paper Project/I-O modeling/Exter_Mada/GAMS Code/EXTER-MADA/"/>
    </mc:Choice>
  </mc:AlternateContent>
  <xr:revisionPtr revIDLastSave="400" documentId="8_{6D6915A7-1F54-4802-A4FC-9946BD8A267F}" xr6:coauthVersionLast="47" xr6:coauthVersionMax="47" xr10:uidLastSave="{27147050-4CCC-4CB0-BB82-E834D3FBA0BA}"/>
  <bookViews>
    <workbookView xWindow="-108" yWindow="-108" windowWidth="23256" windowHeight="12576" tabRatio="945" xr2:uid="{C166FFEB-AA43-4878-87E5-4D9B41DEBF77}"/>
  </bookViews>
  <sheets>
    <sheet name="MCS" sheetId="2" r:id="rId1"/>
  </sheets>
  <externalReferences>
    <externalReference r:id="rId2"/>
  </externalReferences>
  <definedNames>
    <definedName name="AER">[1]Dashboard!$M$66</definedName>
    <definedName name="alpha_1">[1]Dashboard!$L$56</definedName>
    <definedName name="alpha_2">[1]Dashboard!$L$57</definedName>
    <definedName name="alpha_3">[1]Dashboard!$L$58</definedName>
    <definedName name="D_EER">[1]Dashboard!$M$69</definedName>
    <definedName name="delta_R">[1]Dashboard!$M$25</definedName>
    <definedName name="divg_Y">[1]Dashboard!$M$27</definedName>
    <definedName name="EER">[1]Dashboard!$M$65</definedName>
    <definedName name="gamma_AGR">[1]Dashboard!$M$2</definedName>
    <definedName name="gamma_EER">[1]Dashboard!$M$11</definedName>
    <definedName name="gamma_IND">[1]Dashboard!$M$3</definedName>
    <definedName name="gamma_MPI">[1]Dashboard!$M$12</definedName>
    <definedName name="gamma_PA">[1]Dashboard!$M$10</definedName>
    <definedName name="gamma_PD">[1]Dashboard!#REF!</definedName>
    <definedName name="gamma_SVC">[1]Dashboard!$M$4</definedName>
    <definedName name="gamma_X">[1]Dashboard!$M$6</definedName>
    <definedName name="gamma_XGS">#REF!</definedName>
    <definedName name="gamma_XPI">[1]Dashboard!$M$13</definedName>
    <definedName name="iota_D">[1]Dashboard!$M$29</definedName>
    <definedName name="iota_F">[1]Dashboard!$M$30</definedName>
    <definedName name="kappa0">[1]Dashboard!$M$7</definedName>
    <definedName name="kappa1">[1]Dashboard!$M$8</definedName>
    <definedName name="m_M">[1]Dashboard!$M$9</definedName>
    <definedName name="m_X">#REF!</definedName>
    <definedName name="MPI">[1]Dashboard!$M$67</definedName>
    <definedName name="ntrg_Y">[1]Dashboard!$M$28</definedName>
    <definedName name="PA">[1]Dashboard!$M$64</definedName>
    <definedName name="PD">[1]Dashboard!$M$63</definedName>
    <definedName name="rho_D_BG">[1]Dashboard!$M$24</definedName>
    <definedName name="rho_F">[1]Dashboard!$M$17</definedName>
    <definedName name="rho_FDI">[1]Dashboard!$M$23</definedName>
    <definedName name="rho_ITAX">[1]Dashboard!$M$5</definedName>
    <definedName name="rho_KTRG">[1]Dashboard!$M$20</definedName>
    <definedName name="rho_OTHCTR">[1]Dashboard!$M$21</definedName>
    <definedName name="rho_OTHFSY">[1]Dashboard!$M$19</definedName>
    <definedName name="rho_PL">[1]Dashboard!$M$18</definedName>
    <definedName name="rho_SP">[1]Dashboard!$M$14</definedName>
    <definedName name="tg_Y">[1]Dashboard!$M$16</definedName>
    <definedName name="tr_Y">[1]Dashboard!$L$26</definedName>
    <definedName name="v_M">[1]Dashboard!$M$15</definedName>
    <definedName name="XPI">[1]Dashboard!$M$68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8" i="2" l="1"/>
  <c r="AK9" i="2"/>
  <c r="AK10" i="2"/>
  <c r="AK11" i="2"/>
  <c r="AK12" i="2"/>
  <c r="AK13" i="2"/>
  <c r="M37" i="2" l="1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L37" i="2"/>
  <c r="K37" i="2"/>
  <c r="J37" i="2"/>
  <c r="I37" i="2"/>
  <c r="H37" i="2"/>
  <c r="G37" i="2"/>
  <c r="F37" i="2"/>
  <c r="E37" i="2"/>
  <c r="D37" i="2"/>
  <c r="C37" i="2"/>
  <c r="AK32" i="2"/>
  <c r="AK31" i="2"/>
  <c r="AK30" i="2"/>
  <c r="AK29" i="2"/>
  <c r="AK28" i="2"/>
  <c r="AK27" i="2"/>
  <c r="AK26" i="2"/>
  <c r="AK23" i="2"/>
  <c r="AK21" i="2"/>
  <c r="AK20" i="2"/>
  <c r="AK19" i="2"/>
  <c r="AK18" i="2"/>
  <c r="AK17" i="2"/>
  <c r="AK16" i="2"/>
  <c r="AK15" i="2"/>
  <c r="AK14" i="2"/>
  <c r="AK7" i="2"/>
  <c r="AK4" i="2"/>
  <c r="AK37" i="2" l="1"/>
  <c r="AK35" i="2"/>
  <c r="AK34" i="2"/>
  <c r="AK22" i="2"/>
  <c r="AK6" i="2"/>
  <c r="AK3" i="2"/>
  <c r="AK33" i="2" l="1"/>
  <c r="AK24" i="2"/>
  <c r="AK5" i="2"/>
  <c r="AK36" i="2" l="1"/>
  <c r="AK25" i="2" l="1"/>
  <c r="C38" i="2" s="1" a="1"/>
  <c r="J39" i="2" l="1"/>
  <c r="O39" i="2"/>
  <c r="R39" i="2"/>
  <c r="U39" i="2"/>
  <c r="Y39" i="2"/>
  <c r="AA39" i="2"/>
  <c r="AE39" i="2"/>
  <c r="AG39" i="2"/>
  <c r="AI39" i="2"/>
  <c r="AK39" i="2"/>
  <c r="H39" i="2"/>
  <c r="M39" i="2"/>
  <c r="D39" i="2"/>
  <c r="N39" i="2"/>
  <c r="Q39" i="2"/>
  <c r="T39" i="2"/>
  <c r="X39" i="2"/>
  <c r="AC39" i="2"/>
  <c r="AB39" i="2"/>
  <c r="G39" i="2"/>
  <c r="L39" i="2"/>
  <c r="P39" i="2"/>
  <c r="S39" i="2"/>
  <c r="V39" i="2"/>
  <c r="Z39" i="2"/>
  <c r="AD39" i="2"/>
  <c r="AF39" i="2"/>
  <c r="AH39" i="2"/>
  <c r="AJ39" i="2"/>
  <c r="E39" i="2"/>
  <c r="K39" i="2"/>
  <c r="F39" i="2"/>
  <c r="I39" i="2"/>
  <c r="W39" i="2"/>
  <c r="C38" i="2"/>
  <c r="C39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<sst xmlns="http://schemas.openxmlformats.org/spreadsheetml/2006/main" count="140" uniqueCount="32">
  <si>
    <t>F</t>
  </si>
  <si>
    <t>AG</t>
  </si>
  <si>
    <t>J</t>
  </si>
  <si>
    <t>I</t>
  </si>
  <si>
    <t>X</t>
  </si>
  <si>
    <t>M</t>
  </si>
  <si>
    <t>OTH</t>
  </si>
  <si>
    <t>LD</t>
  </si>
  <si>
    <t>KD</t>
  </si>
  <si>
    <t>HUR</t>
  </si>
  <si>
    <t>HRU</t>
  </si>
  <si>
    <t>GVT</t>
  </si>
  <si>
    <t>NGO</t>
  </si>
  <si>
    <t>FIRM</t>
  </si>
  <si>
    <t>TDM</t>
  </si>
  <si>
    <t>TBS</t>
  </si>
  <si>
    <t>TCM</t>
  </si>
  <si>
    <t>NTX</t>
  </si>
  <si>
    <t>ROW</t>
  </si>
  <si>
    <t>AGR</t>
  </si>
  <si>
    <t>IND</t>
  </si>
  <si>
    <t>SER</t>
  </si>
  <si>
    <t>PUB</t>
  </si>
  <si>
    <t>ONTR</t>
  </si>
  <si>
    <t>PETR</t>
  </si>
  <si>
    <t>MC</t>
  </si>
  <si>
    <t>MT</t>
  </si>
  <si>
    <t>INV</t>
  </si>
  <si>
    <t>VSTK</t>
  </si>
  <si>
    <t>TOT</t>
  </si>
  <si>
    <t>FOOD</t>
  </si>
  <si>
    <t>OTHIND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</si>
</sst>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* #,##0_-;\-* #,##0_-;_-* &quot;-&quot;??_-;_-@_-"/>
    <numFmt numFmtId="168" formatCode="0.0"/>
  </numFmts>
  <fonts count="8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 Narrow"/>
      <family val="2"/>
      <scheme val="minor"/>
    </font>
    <font>
      <sz val="12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rgb="FFFF0000"/>
      <name val="Aptos"/>
      <family val="2"/>
    </font>
    <font>
      <b/>
      <sz val="12"/>
      <name val="Aptos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0">
    <xf numFmtId="0" fontId="0" fillId="0" borderId="0" xfId="0"/>
    <xf numFmtId="0" fontId="4" fillId="0" borderId="0" xfId="0" applyFont="1"/>
    <xf numFmtId="166" fontId="6" fillId="0" borderId="0" xfId="1" applyNumberFormat="1" applyFont="1" applyBorder="1"/>
    <xf numFmtId="43" fontId="6" fillId="0" borderId="0" xfId="1" applyFont="1" applyBorder="1"/>
    <xf numFmtId="0" fontId="1" fillId="0" borderId="0" xfId="0" applyFont="1"/>
    <xf numFmtId="166" fontId="1" fillId="0" borderId="0" xfId="1" applyNumberFormat="1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17" xfId="0" applyFont="1" applyBorder="1"/>
    <xf numFmtId="0" fontId="3" fillId="0" borderId="5" xfId="0" applyFont="1" applyBorder="1"/>
    <xf numFmtId="0" fontId="3" fillId="0" borderId="22" xfId="0" applyFont="1" applyBorder="1"/>
    <xf numFmtId="0" fontId="3" fillId="0" borderId="20" xfId="0" applyFont="1" applyBorder="1"/>
    <xf numFmtId="0" fontId="3" fillId="0" borderId="15" xfId="0" applyFont="1" applyBorder="1"/>
    <xf numFmtId="0" fontId="3" fillId="0" borderId="10" xfId="0" applyFont="1" applyBorder="1"/>
    <xf numFmtId="0" fontId="7" fillId="0" borderId="1" xfId="0" applyFont="1" applyBorder="1"/>
    <xf numFmtId="0" fontId="7" fillId="0" borderId="6" xfId="0" applyFont="1" applyBorder="1"/>
    <xf numFmtId="0" fontId="7" fillId="0" borderId="16" xfId="0" applyFont="1" applyBorder="1"/>
    <xf numFmtId="0" fontId="7" fillId="0" borderId="23" xfId="0" applyFont="1" applyBorder="1"/>
    <xf numFmtId="0" fontId="7" fillId="0" borderId="21" xfId="0" applyFont="1" applyBorder="1"/>
    <xf numFmtId="0" fontId="7" fillId="0" borderId="19" xfId="0" applyFont="1" applyBorder="1"/>
    <xf numFmtId="0" fontId="7" fillId="0" borderId="9" xfId="0" applyFont="1" applyBorder="1"/>
    <xf numFmtId="0" fontId="7" fillId="0" borderId="11" xfId="0" applyFont="1" applyBorder="1"/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8" fontId="3" fillId="0" borderId="25" xfId="1" applyNumberFormat="1" applyFont="1" applyFill="1" applyBorder="1"/>
    <xf numFmtId="168" fontId="3" fillId="0" borderId="24" xfId="1" applyNumberFormat="1" applyFont="1" applyFill="1" applyBorder="1"/>
    <xf numFmtId="168" fontId="3" fillId="0" borderId="23" xfId="1" applyNumberFormat="1" applyFont="1" applyFill="1" applyBorder="1"/>
    <xf numFmtId="168" fontId="3" fillId="0" borderId="21" xfId="1" applyNumberFormat="1" applyFont="1" applyFill="1" applyBorder="1"/>
    <xf numFmtId="168" fontId="3" fillId="0" borderId="22" xfId="1" applyNumberFormat="1" applyFont="1" applyFill="1" applyBorder="1"/>
    <xf numFmtId="168" fontId="7" fillId="0" borderId="23" xfId="1" applyNumberFormat="1" applyFont="1" applyFill="1" applyBorder="1"/>
    <xf numFmtId="168" fontId="7" fillId="0" borderId="21" xfId="1" applyNumberFormat="1" applyFont="1" applyFill="1" applyBorder="1"/>
    <xf numFmtId="168" fontId="5" fillId="0" borderId="24" xfId="1" applyNumberFormat="1" applyFont="1" applyFill="1" applyBorder="1"/>
    <xf numFmtId="168" fontId="3" fillId="0" borderId="13" xfId="1" applyNumberFormat="1" applyFont="1" applyFill="1" applyBorder="1"/>
    <xf numFmtId="168" fontId="3" fillId="0" borderId="7" xfId="1" applyNumberFormat="1" applyFont="1" applyFill="1" applyBorder="1"/>
    <xf numFmtId="168" fontId="3" fillId="0" borderId="11" xfId="1" applyNumberFormat="1" applyFont="1" applyFill="1" applyBorder="1"/>
    <xf numFmtId="168" fontId="3" fillId="0" borderId="9" xfId="1" applyNumberFormat="1" applyFont="1" applyFill="1" applyBorder="1"/>
    <xf numFmtId="168" fontId="3" fillId="0" borderId="12" xfId="1" applyNumberFormat="1" applyFont="1" applyFill="1" applyBorder="1"/>
    <xf numFmtId="168" fontId="3" fillId="0" borderId="6" xfId="1" applyNumberFormat="1" applyFont="1" applyFill="1" applyBorder="1"/>
    <xf numFmtId="168" fontId="3" fillId="0" borderId="14" xfId="1" applyNumberFormat="1" applyFont="1" applyFill="1" applyBorder="1"/>
    <xf numFmtId="168" fontId="3" fillId="0" borderId="15" xfId="1" applyNumberFormat="1" applyFont="1" applyFill="1" applyBorder="1"/>
    <xf numFmtId="168" fontId="7" fillId="0" borderId="11" xfId="1" applyNumberFormat="1" applyFont="1" applyFill="1" applyBorder="1"/>
    <xf numFmtId="168" fontId="7" fillId="0" borderId="9" xfId="1" applyNumberFormat="1" applyFont="1" applyFill="1" applyBorder="1"/>
    <xf numFmtId="168" fontId="5" fillId="0" borderId="12" xfId="1" applyNumberFormat="1" applyFont="1" applyFill="1" applyBorder="1"/>
    <xf numFmtId="168" fontId="3" fillId="0" borderId="3" xfId="1" applyNumberFormat="1" applyFont="1" applyFill="1" applyBorder="1"/>
    <xf numFmtId="168" fontId="3" fillId="0" borderId="2" xfId="1" applyNumberFormat="1" applyFont="1" applyFill="1" applyBorder="1"/>
    <xf numFmtId="168" fontId="3" fillId="0" borderId="1" xfId="2" applyNumberFormat="1" applyFont="1" applyFill="1" applyBorder="1"/>
    <xf numFmtId="168" fontId="3" fillId="0" borderId="4" xfId="1" applyNumberFormat="1" applyFont="1" applyFill="1" applyBorder="1"/>
    <xf numFmtId="168" fontId="3" fillId="0" borderId="1" xfId="1" applyNumberFormat="1" applyFont="1" applyFill="1" applyBorder="1"/>
    <xf numFmtId="168" fontId="3" fillId="0" borderId="2" xfId="0" applyNumberFormat="1" applyFont="1" applyBorder="1"/>
    <xf numFmtId="168" fontId="3" fillId="0" borderId="5" xfId="1" applyNumberFormat="1" applyFont="1" applyFill="1" applyBorder="1"/>
    <xf numFmtId="168" fontId="5" fillId="0" borderId="2" xfId="1" applyNumberFormat="1" applyFont="1" applyFill="1" applyBorder="1"/>
    <xf numFmtId="168" fontId="3" fillId="0" borderId="18" xfId="1" applyNumberFormat="1" applyFont="1" applyFill="1" applyBorder="1"/>
    <xf numFmtId="168" fontId="3" fillId="0" borderId="17" xfId="1" applyNumberFormat="1" applyFont="1" applyFill="1" applyBorder="1"/>
    <xf numFmtId="168" fontId="3" fillId="0" borderId="16" xfId="2" applyNumberFormat="1" applyFont="1" applyFill="1" applyBorder="1"/>
    <xf numFmtId="168" fontId="3" fillId="0" borderId="19" xfId="1" applyNumberFormat="1" applyFont="1" applyFill="1" applyBorder="1"/>
    <xf numFmtId="168" fontId="3" fillId="0" borderId="16" xfId="1" applyNumberFormat="1" applyFont="1" applyFill="1" applyBorder="1"/>
    <xf numFmtId="168" fontId="3" fillId="0" borderId="17" xfId="0" applyNumberFormat="1" applyFont="1" applyBorder="1"/>
    <xf numFmtId="168" fontId="3" fillId="0" borderId="20" xfId="1" applyNumberFormat="1" applyFont="1" applyFill="1" applyBorder="1"/>
    <xf numFmtId="168" fontId="5" fillId="0" borderId="17" xfId="1" applyNumberFormat="1" applyFont="1" applyFill="1" applyBorder="1"/>
    <xf numFmtId="168" fontId="3" fillId="0" borderId="8" xfId="1" applyNumberFormat="1" applyFont="1" applyFill="1" applyBorder="1"/>
    <xf numFmtId="168" fontId="3" fillId="0" borderId="7" xfId="0" applyNumberFormat="1" applyFont="1" applyBorder="1"/>
    <xf numFmtId="168" fontId="3" fillId="0" borderId="10" xfId="1" applyNumberFormat="1" applyFont="1" applyFill="1" applyBorder="1"/>
    <xf numFmtId="168" fontId="5" fillId="0" borderId="7" xfId="1" applyNumberFormat="1" applyFont="1" applyFill="1" applyBorder="1"/>
    <xf numFmtId="168" fontId="3" fillId="0" borderId="16" xfId="0" applyNumberFormat="1" applyFont="1" applyBorder="1"/>
    <xf numFmtId="168" fontId="3" fillId="0" borderId="19" xfId="0" applyNumberFormat="1" applyFont="1" applyBorder="1"/>
    <xf numFmtId="168" fontId="3" fillId="0" borderId="20" xfId="0" applyNumberFormat="1" applyFont="1" applyBorder="1"/>
    <xf numFmtId="168" fontId="3" fillId="0" borderId="1" xfId="1" applyNumberFormat="1" applyFont="1" applyFill="1" applyBorder="1" applyAlignment="1"/>
    <xf numFmtId="168" fontId="3" fillId="0" borderId="4" xfId="1" applyNumberFormat="1" applyFont="1" applyFill="1" applyBorder="1" applyAlignment="1"/>
    <xf numFmtId="168" fontId="3" fillId="0" borderId="2" xfId="1" applyNumberFormat="1" applyFont="1" applyFill="1" applyBorder="1" applyAlignment="1"/>
    <xf numFmtId="168" fontId="3" fillId="0" borderId="16" xfId="1" applyNumberFormat="1" applyFont="1" applyFill="1" applyBorder="1" applyAlignment="1"/>
    <xf numFmtId="168" fontId="3" fillId="0" borderId="19" xfId="1" applyNumberFormat="1" applyFont="1" applyFill="1" applyBorder="1" applyAlignment="1"/>
    <xf numFmtId="168" fontId="3" fillId="0" borderId="17" xfId="1" applyNumberFormat="1" applyFont="1" applyFill="1" applyBorder="1" applyAlignment="1"/>
    <xf numFmtId="168" fontId="3" fillId="0" borderId="18" xfId="0" applyNumberFormat="1" applyFont="1" applyBorder="1"/>
    <xf numFmtId="168" fontId="3" fillId="0" borderId="26" xfId="1" applyNumberFormat="1" applyFont="1" applyFill="1" applyBorder="1"/>
    <xf numFmtId="168" fontId="3" fillId="0" borderId="27" xfId="1" applyNumberFormat="1" applyFont="1" applyFill="1" applyBorder="1"/>
    <xf numFmtId="168" fontId="3" fillId="0" borderId="28" xfId="1" applyNumberFormat="1" applyFont="1" applyFill="1" applyBorder="1"/>
    <xf numFmtId="168" fontId="3" fillId="0" borderId="6" xfId="1" applyNumberFormat="1" applyFont="1" applyFill="1" applyBorder="1" applyAlignment="1"/>
    <xf numFmtId="168" fontId="3" fillId="0" borderId="14" xfId="1" applyNumberFormat="1" applyFont="1" applyFill="1" applyBorder="1" applyAlignment="1"/>
    <xf numFmtId="168" fontId="3" fillId="0" borderId="7" xfId="1" applyNumberFormat="1" applyFont="1" applyFill="1" applyBorder="1" applyAlignment="1"/>
    <xf numFmtId="168" fontId="3" fillId="0" borderId="0" xfId="0" applyNumberFormat="1" applyFont="1"/>
    <xf numFmtId="168" fontId="3" fillId="0" borderId="12" xfId="0" applyNumberFormat="1" applyFont="1" applyBorder="1"/>
    <xf numFmtId="168" fontId="5" fillId="0" borderId="6" xfId="1" applyNumberFormat="1" applyFont="1" applyFill="1" applyBorder="1"/>
    <xf numFmtId="168" fontId="5" fillId="0" borderId="14" xfId="1" applyNumberFormat="1" applyFont="1" applyFill="1" applyBorder="1"/>
    <xf numFmtId="168" fontId="5" fillId="0" borderId="15" xfId="1" applyNumberFormat="1" applyFont="1" applyFill="1" applyBorder="1"/>
    <xf numFmtId="168" fontId="5" fillId="0" borderId="13" xfId="1" applyNumberFormat="1" applyFont="1" applyFill="1" applyBorder="1"/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a%20trier%202026/to%20be%20sorted%2005%2011%202025/New-Model-2025/new-2019-merged-model-22-04-2026.xlsx" TargetMode="External"/><Relationship Id="rId2" Type="http://schemas.openxmlformats.org/officeDocument/2006/relationships/externalLinkPath" Target="https://d.docs.live.net/8db62cf83fca7555/Bureau/a%20trier%202026/to%20be%20sorted%2005%2011%202025/New-Model-2025/new-2019-merged-model-22-04-2026.xlsx" TargetMode="External"/><Relationship Id="rId1" Type="http://schemas.openxmlformats.org/officeDocument/2006/relationships/externalLinkPath" Target="/8db62cf83fca7555/Bureau/a%20trier%202026/to%20be%20sorted%2005%2011%202025/New-Model-2025/new-2019-merged-model-22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Feuil2"/>
      <sheetName val="RSAM_Light"/>
      <sheetName val="FSAM_Light"/>
      <sheetName val="RSAM"/>
      <sheetName val="FSAM"/>
      <sheetName val="RealSector"/>
      <sheetName val="OGT"/>
      <sheetName val="BOP"/>
      <sheetName val="Monnaie"/>
      <sheetName val="DettePublique"/>
      <sheetName val="sys_prix"/>
      <sheetName val="systeme"/>
    </sheetNames>
    <sheetDataSet>
      <sheetData sheetId="0">
        <row r="2">
          <cell r="M2">
            <v>0</v>
          </cell>
        </row>
        <row r="3">
          <cell r="M3">
            <v>0</v>
          </cell>
        </row>
        <row r="4">
          <cell r="M4">
            <v>0</v>
          </cell>
        </row>
        <row r="5">
          <cell r="M5">
            <v>6.6560134885033401E-2</v>
          </cell>
        </row>
        <row r="6">
          <cell r="M6">
            <v>0.05</v>
          </cell>
        </row>
        <row r="7">
          <cell r="M7">
            <v>0.22684048128184808</v>
          </cell>
        </row>
        <row r="8">
          <cell r="M8">
            <v>4.2089999999999996</v>
          </cell>
        </row>
        <row r="9">
          <cell r="M9">
            <v>0.3417692180294527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0.17220802696368276</v>
          </cell>
        </row>
        <row r="15">
          <cell r="M15">
            <v>4.0314313722636443</v>
          </cell>
        </row>
        <row r="16">
          <cell r="M16">
            <v>0.1131021303196517</v>
          </cell>
        </row>
        <row r="17">
          <cell r="M17">
            <v>0.80682244816159876</v>
          </cell>
        </row>
        <row r="18">
          <cell r="M18">
            <v>1.3496829501360097</v>
          </cell>
        </row>
        <row r="19">
          <cell r="M19" t="e">
            <v>#REF!</v>
          </cell>
        </row>
        <row r="20">
          <cell r="M20">
            <v>2.393854839136458E-2</v>
          </cell>
        </row>
        <row r="21">
          <cell r="M21">
            <v>4.9443997811854559E-2</v>
          </cell>
        </row>
        <row r="23">
          <cell r="M23">
            <v>0.1548221173235145</v>
          </cell>
        </row>
        <row r="24">
          <cell r="M24">
            <v>1.3725151528638201E-3</v>
          </cell>
        </row>
        <row r="25">
          <cell r="M25">
            <v>3.1698536478476518</v>
          </cell>
        </row>
        <row r="26">
          <cell r="L26">
            <v>3.1039112067477455E-2</v>
          </cell>
        </row>
        <row r="27">
          <cell r="M27">
            <v>1.4670195245482579E-2</v>
          </cell>
        </row>
        <row r="28">
          <cell r="M28">
            <v>7.1539603669630658E-3</v>
          </cell>
        </row>
        <row r="29">
          <cell r="M29">
            <v>6.7870345975940563E-2</v>
          </cell>
        </row>
        <row r="30">
          <cell r="M30">
            <v>-1.1341372080533655E-2</v>
          </cell>
        </row>
        <row r="56">
          <cell r="L56">
            <v>1.0575252056014601</v>
          </cell>
        </row>
        <row r="57">
          <cell r="L57">
            <v>0.28424401242799235</v>
          </cell>
        </row>
        <row r="58">
          <cell r="L58">
            <v>-0.3417692180294527</v>
          </cell>
        </row>
        <row r="63">
          <cell r="M63">
            <v>0.99999999999999978</v>
          </cell>
        </row>
        <row r="64">
          <cell r="M64">
            <v>1</v>
          </cell>
        </row>
        <row r="65">
          <cell r="M65">
            <v>5.0062100000000012</v>
          </cell>
        </row>
        <row r="66">
          <cell r="M66">
            <v>4.998883096053973</v>
          </cell>
        </row>
        <row r="67">
          <cell r="M67">
            <v>1</v>
          </cell>
        </row>
        <row r="68">
          <cell r="M68">
            <v>1</v>
          </cell>
        </row>
        <row r="69">
          <cell r="M69">
            <v>0.19420000000000126</v>
          </cell>
        </row>
      </sheetData>
      <sheetData sheetId="1"/>
      <sheetData sheetId="2"/>
      <sheetData sheetId="3"/>
      <sheetData sheetId="4">
        <row r="13">
          <cell r="O13">
            <v>1653.1515032920056</v>
          </cell>
        </row>
      </sheetData>
      <sheetData sheetId="5"/>
      <sheetData sheetId="6"/>
      <sheetData sheetId="7">
        <row r="17">
          <cell r="E17">
            <v>2489.628909473709</v>
          </cell>
        </row>
      </sheetData>
      <sheetData sheetId="8"/>
      <sheetData sheetId="9">
        <row r="14">
          <cell r="E14">
            <v>4.998883096053973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E326-DDB2-4B0B-8E90-3E8D4CAF9B09}">
  <sheetPr>
    <tabColor theme="8" tint="-0.499984740745262"/>
  </sheetPr>
  <dimension ref="A1:AK39"/>
  <sheetViews>
    <sheetView tabSelected="1" zoomScale="79" zoomScaleNormal="67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AK7" sqref="AK7:AK13"/>
    </sheetView>
  </sheetViews>
  <sheetFormatPr baseColWidth="10" defaultColWidth="6.33203125" defaultRowHeight="15.6" x14ac:dyDescent="0.3"/>
  <cols>
    <col min="1" max="1" width="5.44140625" style="1" bestFit="1" customWidth="1"/>
    <col min="2" max="2" width="9.109375" style="1" bestFit="1" customWidth="1"/>
    <col min="3" max="4" width="11.109375" style="1" bestFit="1" customWidth="1"/>
    <col min="5" max="6" width="14.109375" style="1" bestFit="1" customWidth="1"/>
    <col min="7" max="7" width="14.21875" style="1" bestFit="1" customWidth="1"/>
    <col min="8" max="8" width="11" style="1" bestFit="1" customWidth="1"/>
    <col min="9" max="9" width="11.109375" style="1" bestFit="1" customWidth="1"/>
    <col min="10" max="11" width="9.88671875" style="1" bestFit="1" customWidth="1"/>
    <col min="12" max="13" width="12.33203125" style="1" bestFit="1" customWidth="1"/>
    <col min="14" max="14" width="9.88671875" style="1" bestFit="1" customWidth="1"/>
    <col min="15" max="16" width="12.77734375" style="1" bestFit="1" customWidth="1"/>
    <col min="17" max="17" width="9.88671875" style="1" bestFit="1" customWidth="1"/>
    <col min="18" max="18" width="12.77734375" style="1" bestFit="1" customWidth="1"/>
    <col min="19" max="20" width="9.88671875" style="1" bestFit="1" customWidth="1"/>
    <col min="21" max="21" width="11.109375" style="1" bestFit="1" customWidth="1"/>
    <col min="22" max="22" width="14.6640625" style="1" bestFit="1" customWidth="1"/>
    <col min="23" max="24" width="9.88671875" style="1" bestFit="1" customWidth="1"/>
    <col min="25" max="25" width="11.109375" style="1" bestFit="1" customWidth="1"/>
    <col min="26" max="27" width="9.88671875" style="1" bestFit="1" customWidth="1"/>
    <col min="28" max="28" width="8.109375" style="1" bestFit="1" customWidth="1"/>
    <col min="29" max="30" width="9.88671875" style="1" bestFit="1" customWidth="1"/>
    <col min="31" max="31" width="8.109375" style="1" bestFit="1" customWidth="1"/>
    <col min="32" max="36" width="9.88671875" style="1" bestFit="1" customWidth="1"/>
    <col min="37" max="37" width="11.109375" style="1" bestFit="1" customWidth="1"/>
    <col min="38" max="16384" width="6.33203125" style="1"/>
  </cols>
  <sheetData>
    <row r="1" spans="1:37" x14ac:dyDescent="0.3">
      <c r="A1" s="22"/>
      <c r="B1" s="22"/>
      <c r="C1" s="23" t="s">
        <v>0</v>
      </c>
      <c r="D1" s="24" t="s">
        <v>0</v>
      </c>
      <c r="E1" s="23" t="s">
        <v>1</v>
      </c>
      <c r="F1" s="25" t="s">
        <v>1</v>
      </c>
      <c r="G1" s="25" t="s">
        <v>1</v>
      </c>
      <c r="H1" s="25" t="s">
        <v>1</v>
      </c>
      <c r="I1" s="25" t="s">
        <v>1</v>
      </c>
      <c r="J1" s="25" t="s">
        <v>1</v>
      </c>
      <c r="K1" s="25" t="s">
        <v>1</v>
      </c>
      <c r="L1" s="25" t="s">
        <v>1</v>
      </c>
      <c r="M1" s="25" t="s">
        <v>1</v>
      </c>
      <c r="N1" s="24" t="s">
        <v>1</v>
      </c>
      <c r="O1" s="23" t="s">
        <v>2</v>
      </c>
      <c r="P1" s="25" t="s">
        <v>2</v>
      </c>
      <c r="Q1" s="25" t="s">
        <v>2</v>
      </c>
      <c r="R1" s="25" t="s">
        <v>2</v>
      </c>
      <c r="S1" s="25" t="s">
        <v>2</v>
      </c>
      <c r="T1" s="24" t="s">
        <v>2</v>
      </c>
      <c r="U1" s="23" t="s">
        <v>3</v>
      </c>
      <c r="V1" s="25" t="s">
        <v>3</v>
      </c>
      <c r="W1" s="25" t="s">
        <v>3</v>
      </c>
      <c r="X1" s="25" t="s">
        <v>3</v>
      </c>
      <c r="Y1" s="25" t="s">
        <v>3</v>
      </c>
      <c r="Z1" s="25" t="s">
        <v>3</v>
      </c>
      <c r="AA1" s="24" t="s">
        <v>3</v>
      </c>
      <c r="AB1" s="23" t="s">
        <v>4</v>
      </c>
      <c r="AC1" s="25" t="s">
        <v>4</v>
      </c>
      <c r="AD1" s="25" t="s">
        <v>4</v>
      </c>
      <c r="AE1" s="25" t="s">
        <v>4</v>
      </c>
      <c r="AF1" s="24" t="s">
        <v>4</v>
      </c>
      <c r="AG1" s="23" t="s">
        <v>5</v>
      </c>
      <c r="AH1" s="24" t="s">
        <v>5</v>
      </c>
      <c r="AI1" s="23" t="s">
        <v>6</v>
      </c>
      <c r="AJ1" s="25" t="s">
        <v>6</v>
      </c>
      <c r="AK1" s="24" t="s">
        <v>6</v>
      </c>
    </row>
    <row r="2" spans="1:37" ht="16.2" thickBot="1" x14ac:dyDescent="0.35">
      <c r="A2" s="22"/>
      <c r="B2" s="22"/>
      <c r="C2" s="26" t="s">
        <v>7</v>
      </c>
      <c r="D2" s="27" t="s">
        <v>8</v>
      </c>
      <c r="E2" s="26" t="s">
        <v>9</v>
      </c>
      <c r="F2" s="28" t="s">
        <v>10</v>
      </c>
      <c r="G2" s="28" t="s">
        <v>11</v>
      </c>
      <c r="H2" s="28" t="s">
        <v>12</v>
      </c>
      <c r="I2" s="28" t="s">
        <v>13</v>
      </c>
      <c r="J2" s="28" t="s">
        <v>14</v>
      </c>
      <c r="K2" s="28" t="s">
        <v>15</v>
      </c>
      <c r="L2" s="28" t="s">
        <v>16</v>
      </c>
      <c r="M2" s="28" t="s">
        <v>17</v>
      </c>
      <c r="N2" s="27" t="s">
        <v>18</v>
      </c>
      <c r="O2" s="26" t="s">
        <v>19</v>
      </c>
      <c r="P2" s="28" t="s">
        <v>30</v>
      </c>
      <c r="Q2" s="28" t="s">
        <v>31</v>
      </c>
      <c r="R2" s="28" t="s">
        <v>21</v>
      </c>
      <c r="S2" s="28" t="s">
        <v>22</v>
      </c>
      <c r="T2" s="27" t="s">
        <v>23</v>
      </c>
      <c r="U2" s="26" t="s">
        <v>19</v>
      </c>
      <c r="V2" s="28" t="s">
        <v>30</v>
      </c>
      <c r="W2" s="28" t="s">
        <v>31</v>
      </c>
      <c r="X2" s="28" t="s">
        <v>24</v>
      </c>
      <c r="Y2" s="28" t="s">
        <v>21</v>
      </c>
      <c r="Z2" s="28" t="s">
        <v>22</v>
      </c>
      <c r="AA2" s="27" t="s">
        <v>23</v>
      </c>
      <c r="AB2" s="26" t="s">
        <v>19</v>
      </c>
      <c r="AC2" s="28" t="s">
        <v>30</v>
      </c>
      <c r="AD2" s="28" t="s">
        <v>20</v>
      </c>
      <c r="AE2" s="28" t="s">
        <v>24</v>
      </c>
      <c r="AF2" s="27" t="s">
        <v>21</v>
      </c>
      <c r="AG2" s="26" t="s">
        <v>25</v>
      </c>
      <c r="AH2" s="27" t="s">
        <v>26</v>
      </c>
      <c r="AI2" s="26" t="s">
        <v>27</v>
      </c>
      <c r="AJ2" s="28" t="s">
        <v>28</v>
      </c>
      <c r="AK2" s="27" t="s">
        <v>29</v>
      </c>
    </row>
    <row r="3" spans="1:37" x14ac:dyDescent="0.3">
      <c r="A3" s="14" t="s">
        <v>0</v>
      </c>
      <c r="B3" s="6" t="s">
        <v>7</v>
      </c>
      <c r="C3" s="29"/>
      <c r="D3" s="30"/>
      <c r="E3" s="31"/>
      <c r="F3" s="32"/>
      <c r="G3" s="32"/>
      <c r="H3" s="32"/>
      <c r="I3" s="32"/>
      <c r="J3" s="32"/>
      <c r="K3" s="32"/>
      <c r="L3" s="32"/>
      <c r="M3" s="32"/>
      <c r="N3" s="30">
        <v>96.287619695337597</v>
      </c>
      <c r="O3" s="31">
        <v>7548.169086223038</v>
      </c>
      <c r="P3" s="32">
        <v>1449.8362463502169</v>
      </c>
      <c r="Q3" s="32">
        <v>2334.8250353209833</v>
      </c>
      <c r="R3" s="32">
        <v>642.29124782391136</v>
      </c>
      <c r="S3" s="32">
        <v>1867.5922346984087</v>
      </c>
      <c r="T3" s="30">
        <v>5451.6601019578875</v>
      </c>
      <c r="U3" s="31"/>
      <c r="V3" s="32"/>
      <c r="W3" s="32"/>
      <c r="X3" s="32"/>
      <c r="Y3" s="32"/>
      <c r="Z3" s="32"/>
      <c r="AA3" s="30"/>
      <c r="AB3" s="29"/>
      <c r="AC3" s="29"/>
      <c r="AD3" s="32"/>
      <c r="AE3" s="33"/>
      <c r="AF3" s="30"/>
      <c r="AG3" s="31"/>
      <c r="AH3" s="33"/>
      <c r="AI3" s="34"/>
      <c r="AJ3" s="35"/>
      <c r="AK3" s="36">
        <f t="shared" ref="AK3:AK37" si="0">SUM(C3:AJ3)</f>
        <v>19390.661572069785</v>
      </c>
    </row>
    <row r="4" spans="1:37" ht="16.2" thickBot="1" x14ac:dyDescent="0.35">
      <c r="A4" s="15" t="s">
        <v>0</v>
      </c>
      <c r="B4" s="7" t="s">
        <v>8</v>
      </c>
      <c r="C4" s="37"/>
      <c r="D4" s="38"/>
      <c r="E4" s="39"/>
      <c r="F4" s="40"/>
      <c r="G4" s="40"/>
      <c r="H4" s="40"/>
      <c r="I4" s="40"/>
      <c r="J4" s="40"/>
      <c r="K4" s="40"/>
      <c r="L4" s="40"/>
      <c r="M4" s="40"/>
      <c r="N4" s="41">
        <v>125.31117518451218</v>
      </c>
      <c r="O4" s="42">
        <v>4167.6038290171718</v>
      </c>
      <c r="P4" s="43">
        <v>1485.3467143569735</v>
      </c>
      <c r="Q4" s="43">
        <v>2392.0113071684764</v>
      </c>
      <c r="R4" s="43">
        <v>20298.969808843311</v>
      </c>
      <c r="S4" s="43">
        <v>0</v>
      </c>
      <c r="T4" s="38">
        <v>0</v>
      </c>
      <c r="U4" s="42"/>
      <c r="V4" s="43"/>
      <c r="W4" s="43"/>
      <c r="X4" s="43"/>
      <c r="Y4" s="43"/>
      <c r="Z4" s="43"/>
      <c r="AA4" s="38"/>
      <c r="AB4" s="37"/>
      <c r="AC4" s="37"/>
      <c r="AD4" s="43"/>
      <c r="AE4" s="44"/>
      <c r="AF4" s="38"/>
      <c r="AG4" s="42"/>
      <c r="AH4" s="44"/>
      <c r="AI4" s="45"/>
      <c r="AJ4" s="46"/>
      <c r="AK4" s="47">
        <f t="shared" si="0"/>
        <v>28469.242834570443</v>
      </c>
    </row>
    <row r="5" spans="1:37" x14ac:dyDescent="0.3">
      <c r="A5" s="14" t="s">
        <v>1</v>
      </c>
      <c r="B5" s="6" t="s">
        <v>9</v>
      </c>
      <c r="C5" s="48">
        <v>10487.856071713231</v>
      </c>
      <c r="D5" s="49">
        <v>1091.9373858921215</v>
      </c>
      <c r="E5" s="50"/>
      <c r="F5" s="51"/>
      <c r="G5" s="51">
        <v>257.53678016499617</v>
      </c>
      <c r="H5" s="51">
        <v>22.967884327078618</v>
      </c>
      <c r="I5" s="51">
        <v>770.91494023758605</v>
      </c>
      <c r="J5" s="48"/>
      <c r="K5" s="51"/>
      <c r="L5" s="51"/>
      <c r="M5" s="51"/>
      <c r="N5" s="49">
        <v>524.46577390028381</v>
      </c>
      <c r="O5" s="52"/>
      <c r="P5" s="51"/>
      <c r="Q5" s="51"/>
      <c r="R5" s="51"/>
      <c r="S5" s="51"/>
      <c r="T5" s="53"/>
      <c r="U5" s="52"/>
      <c r="V5" s="51"/>
      <c r="W5" s="51"/>
      <c r="X5" s="51"/>
      <c r="Y5" s="51"/>
      <c r="Z5" s="51"/>
      <c r="AA5" s="49"/>
      <c r="AB5" s="48"/>
      <c r="AC5" s="48"/>
      <c r="AD5" s="51"/>
      <c r="AE5" s="54"/>
      <c r="AF5" s="49"/>
      <c r="AG5" s="52"/>
      <c r="AH5" s="54"/>
      <c r="AI5" s="52"/>
      <c r="AJ5" s="51"/>
      <c r="AK5" s="55">
        <f t="shared" si="0"/>
        <v>13155.678836235296</v>
      </c>
    </row>
    <row r="6" spans="1:37" x14ac:dyDescent="0.3">
      <c r="A6" s="16" t="s">
        <v>1</v>
      </c>
      <c r="B6" s="8" t="s">
        <v>10</v>
      </c>
      <c r="C6" s="56">
        <v>8794.8017168084407</v>
      </c>
      <c r="D6" s="57">
        <v>7147.5365652862783</v>
      </c>
      <c r="E6" s="58"/>
      <c r="F6" s="59"/>
      <c r="G6" s="59">
        <v>364.49989461030384</v>
      </c>
      <c r="H6" s="59">
        <v>32.507168146150804</v>
      </c>
      <c r="I6" s="59">
        <v>13015.714427262705</v>
      </c>
      <c r="J6" s="56"/>
      <c r="K6" s="59"/>
      <c r="L6" s="59"/>
      <c r="M6" s="59"/>
      <c r="N6" s="57">
        <v>742.29288411111372</v>
      </c>
      <c r="O6" s="60"/>
      <c r="P6" s="59"/>
      <c r="Q6" s="59"/>
      <c r="R6" s="59"/>
      <c r="S6" s="59"/>
      <c r="T6" s="61"/>
      <c r="U6" s="60"/>
      <c r="V6" s="59"/>
      <c r="W6" s="59"/>
      <c r="X6" s="59"/>
      <c r="Y6" s="59"/>
      <c r="Z6" s="59"/>
      <c r="AA6" s="57"/>
      <c r="AB6" s="56"/>
      <c r="AC6" s="56"/>
      <c r="AD6" s="59"/>
      <c r="AE6" s="62"/>
      <c r="AF6" s="57"/>
      <c r="AG6" s="60"/>
      <c r="AH6" s="62"/>
      <c r="AI6" s="60"/>
      <c r="AJ6" s="59"/>
      <c r="AK6" s="63">
        <f t="shared" si="0"/>
        <v>30097.35265622499</v>
      </c>
    </row>
    <row r="7" spans="1:37" x14ac:dyDescent="0.3">
      <c r="A7" s="16" t="s">
        <v>1</v>
      </c>
      <c r="B7" s="8" t="s">
        <v>11</v>
      </c>
      <c r="C7" s="56"/>
      <c r="D7" s="57"/>
      <c r="E7" s="58"/>
      <c r="F7" s="59"/>
      <c r="G7" s="59">
        <v>0</v>
      </c>
      <c r="H7" s="59">
        <v>0</v>
      </c>
      <c r="I7" s="32">
        <v>0</v>
      </c>
      <c r="J7" s="59">
        <v>1281.3446141556403</v>
      </c>
      <c r="K7" s="59">
        <v>1385.3719787402501</v>
      </c>
      <c r="L7" s="59">
        <v>2748.3410242479999</v>
      </c>
      <c r="M7" s="59">
        <v>113.74378875909079</v>
      </c>
      <c r="N7" s="57">
        <v>365.10391620550001</v>
      </c>
      <c r="O7" s="60"/>
      <c r="P7" s="59"/>
      <c r="Q7" s="59"/>
      <c r="R7" s="59"/>
      <c r="S7" s="59"/>
      <c r="T7" s="61"/>
      <c r="U7" s="60"/>
      <c r="V7" s="59"/>
      <c r="W7" s="59"/>
      <c r="X7" s="59"/>
      <c r="Y7" s="59"/>
      <c r="Z7" s="59"/>
      <c r="AA7" s="57"/>
      <c r="AB7" s="56"/>
      <c r="AC7" s="56"/>
      <c r="AD7" s="59"/>
      <c r="AE7" s="62"/>
      <c r="AF7" s="57"/>
      <c r="AG7" s="60"/>
      <c r="AH7" s="62"/>
      <c r="AI7" s="60"/>
      <c r="AJ7" s="59"/>
      <c r="AK7" s="63">
        <f t="shared" si="0"/>
        <v>5893.9053221084805</v>
      </c>
    </row>
    <row r="8" spans="1:37" x14ac:dyDescent="0.3">
      <c r="A8" s="16" t="s">
        <v>1</v>
      </c>
      <c r="B8" s="8" t="s">
        <v>12</v>
      </c>
      <c r="C8" s="56"/>
      <c r="D8" s="57"/>
      <c r="E8" s="60"/>
      <c r="F8" s="59"/>
      <c r="G8" s="59">
        <v>754.84854539057369</v>
      </c>
      <c r="H8" s="59">
        <v>0</v>
      </c>
      <c r="I8" s="59">
        <v>4331.0648146134663</v>
      </c>
      <c r="J8" s="59">
        <v>0</v>
      </c>
      <c r="K8" s="59">
        <v>0</v>
      </c>
      <c r="L8" s="59">
        <v>0</v>
      </c>
      <c r="M8" s="59">
        <v>430.55638402410682</v>
      </c>
      <c r="N8" s="57">
        <v>66.891470993395671</v>
      </c>
      <c r="O8" s="60"/>
      <c r="P8" s="59"/>
      <c r="Q8" s="59"/>
      <c r="R8" s="59"/>
      <c r="S8" s="59"/>
      <c r="T8" s="61"/>
      <c r="U8" s="60"/>
      <c r="V8" s="59"/>
      <c r="W8" s="59"/>
      <c r="X8" s="59"/>
      <c r="Y8" s="59"/>
      <c r="Z8" s="59"/>
      <c r="AA8" s="57"/>
      <c r="AB8" s="56"/>
      <c r="AC8" s="56"/>
      <c r="AD8" s="59"/>
      <c r="AE8" s="62"/>
      <c r="AF8" s="57"/>
      <c r="AG8" s="60"/>
      <c r="AH8" s="62"/>
      <c r="AI8" s="60"/>
      <c r="AJ8" s="59"/>
      <c r="AK8" s="63">
        <f t="shared" si="0"/>
        <v>5583.3612150215431</v>
      </c>
    </row>
    <row r="9" spans="1:37" x14ac:dyDescent="0.3">
      <c r="A9" s="16" t="s">
        <v>1</v>
      </c>
      <c r="B9" s="8" t="s">
        <v>13</v>
      </c>
      <c r="C9" s="56"/>
      <c r="D9" s="57">
        <v>18617.163799256039</v>
      </c>
      <c r="E9" s="60"/>
      <c r="F9" s="59"/>
      <c r="G9" s="59">
        <v>1292.5324141603805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7">
        <v>1189.7350042605765</v>
      </c>
      <c r="O9" s="60"/>
      <c r="P9" s="59"/>
      <c r="Q9" s="59"/>
      <c r="R9" s="59"/>
      <c r="S9" s="59"/>
      <c r="T9" s="61"/>
      <c r="U9" s="60"/>
      <c r="V9" s="59"/>
      <c r="W9" s="59"/>
      <c r="X9" s="59"/>
      <c r="Y9" s="59"/>
      <c r="Z9" s="59"/>
      <c r="AA9" s="57"/>
      <c r="AB9" s="56"/>
      <c r="AC9" s="56"/>
      <c r="AD9" s="59"/>
      <c r="AE9" s="62"/>
      <c r="AF9" s="57"/>
      <c r="AG9" s="60"/>
      <c r="AH9" s="62"/>
      <c r="AI9" s="60"/>
      <c r="AJ9" s="59"/>
      <c r="AK9" s="63">
        <f t="shared" si="0"/>
        <v>21099.431217676996</v>
      </c>
    </row>
    <row r="10" spans="1:37" x14ac:dyDescent="0.3">
      <c r="A10" s="16" t="s">
        <v>1</v>
      </c>
      <c r="B10" s="8" t="s">
        <v>14</v>
      </c>
      <c r="C10" s="56"/>
      <c r="D10" s="57"/>
      <c r="E10" s="60">
        <v>298.77401413938929</v>
      </c>
      <c r="F10" s="59">
        <v>250.54293218019077</v>
      </c>
      <c r="G10" s="59">
        <v>0</v>
      </c>
      <c r="H10" s="59">
        <v>0</v>
      </c>
      <c r="I10" s="59">
        <v>732.02766783606023</v>
      </c>
      <c r="J10" s="59">
        <v>0</v>
      </c>
      <c r="K10" s="59">
        <v>0</v>
      </c>
      <c r="L10" s="59">
        <v>0</v>
      </c>
      <c r="M10" s="59">
        <v>0</v>
      </c>
      <c r="N10" s="57"/>
      <c r="O10" s="60"/>
      <c r="P10" s="59"/>
      <c r="Q10" s="59"/>
      <c r="R10" s="59"/>
      <c r="S10" s="59"/>
      <c r="T10" s="61"/>
      <c r="U10" s="60"/>
      <c r="V10" s="59"/>
      <c r="W10" s="59"/>
      <c r="X10" s="59"/>
      <c r="Y10" s="59"/>
      <c r="Z10" s="59"/>
      <c r="AA10" s="57"/>
      <c r="AB10" s="56"/>
      <c r="AC10" s="56"/>
      <c r="AD10" s="59"/>
      <c r="AE10" s="62"/>
      <c r="AF10" s="57"/>
      <c r="AG10" s="60"/>
      <c r="AH10" s="62"/>
      <c r="AI10" s="60"/>
      <c r="AJ10" s="59"/>
      <c r="AK10" s="63">
        <f t="shared" si="0"/>
        <v>1281.3446141556403</v>
      </c>
    </row>
    <row r="11" spans="1:37" x14ac:dyDescent="0.3">
      <c r="A11" s="16" t="s">
        <v>1</v>
      </c>
      <c r="B11" s="8" t="s">
        <v>15</v>
      </c>
      <c r="C11" s="56"/>
      <c r="D11" s="57"/>
      <c r="E11" s="60"/>
      <c r="F11" s="59"/>
      <c r="G11" s="59">
        <v>0</v>
      </c>
      <c r="H11" s="59">
        <v>0</v>
      </c>
      <c r="I11" s="59">
        <v>158.60623090310105</v>
      </c>
      <c r="J11" s="59">
        <v>0</v>
      </c>
      <c r="K11" s="59">
        <v>0</v>
      </c>
      <c r="L11" s="59">
        <v>0</v>
      </c>
      <c r="M11" s="59">
        <v>0</v>
      </c>
      <c r="N11" s="57"/>
      <c r="O11" s="60"/>
      <c r="P11" s="59"/>
      <c r="Q11" s="59"/>
      <c r="R11" s="59"/>
      <c r="S11" s="59"/>
      <c r="T11" s="61"/>
      <c r="U11" s="60">
        <v>76.954686893043416</v>
      </c>
      <c r="V11" s="59">
        <v>516.07311627245122</v>
      </c>
      <c r="W11" s="59">
        <v>260.75306830640517</v>
      </c>
      <c r="X11" s="59">
        <v>0</v>
      </c>
      <c r="Y11" s="59">
        <v>372.98487636524931</v>
      </c>
      <c r="Z11" s="59"/>
      <c r="AA11" s="57"/>
      <c r="AB11" s="56"/>
      <c r="AC11" s="56"/>
      <c r="AD11" s="59"/>
      <c r="AE11" s="62"/>
      <c r="AF11" s="57"/>
      <c r="AG11" s="60"/>
      <c r="AH11" s="62"/>
      <c r="AI11" s="60"/>
      <c r="AJ11" s="59"/>
      <c r="AK11" s="63">
        <f t="shared" si="0"/>
        <v>1385.3719787402501</v>
      </c>
    </row>
    <row r="12" spans="1:37" x14ac:dyDescent="0.3">
      <c r="A12" s="16" t="s">
        <v>1</v>
      </c>
      <c r="B12" s="8" t="s">
        <v>16</v>
      </c>
      <c r="C12" s="56"/>
      <c r="D12" s="57"/>
      <c r="E12" s="60"/>
      <c r="F12" s="59"/>
      <c r="G12" s="59">
        <v>0</v>
      </c>
      <c r="H12" s="59">
        <v>0</v>
      </c>
      <c r="I12" s="59">
        <v>578.19587753846781</v>
      </c>
      <c r="J12" s="59">
        <v>0</v>
      </c>
      <c r="K12" s="59">
        <v>0</v>
      </c>
      <c r="L12" s="59">
        <v>0</v>
      </c>
      <c r="M12" s="59">
        <v>0</v>
      </c>
      <c r="N12" s="57"/>
      <c r="O12" s="60"/>
      <c r="P12" s="59"/>
      <c r="Q12" s="59"/>
      <c r="R12" s="59"/>
      <c r="S12" s="59"/>
      <c r="T12" s="61"/>
      <c r="U12" s="60">
        <v>26.33148007763965</v>
      </c>
      <c r="V12" s="59">
        <v>297.75893829271689</v>
      </c>
      <c r="W12" s="59">
        <v>1220.4589445659087</v>
      </c>
      <c r="X12" s="59">
        <v>625.59578377326648</v>
      </c>
      <c r="Y12" s="59">
        <v>0</v>
      </c>
      <c r="Z12" s="59"/>
      <c r="AA12" s="57"/>
      <c r="AB12" s="56"/>
      <c r="AC12" s="56"/>
      <c r="AD12" s="59"/>
      <c r="AE12" s="62"/>
      <c r="AF12" s="57"/>
      <c r="AG12" s="60"/>
      <c r="AH12" s="62"/>
      <c r="AI12" s="60"/>
      <c r="AJ12" s="59"/>
      <c r="AK12" s="63">
        <f t="shared" si="0"/>
        <v>2748.3410242479995</v>
      </c>
    </row>
    <row r="13" spans="1:37" x14ac:dyDescent="0.3">
      <c r="A13" s="16" t="s">
        <v>1</v>
      </c>
      <c r="B13" s="8" t="s">
        <v>17</v>
      </c>
      <c r="C13" s="56">
        <v>0</v>
      </c>
      <c r="D13" s="57"/>
      <c r="E13" s="60">
        <v>137.19420592953657</v>
      </c>
      <c r="F13" s="59">
        <v>318.0045493013111</v>
      </c>
      <c r="G13" s="59">
        <v>0</v>
      </c>
      <c r="H13" s="59">
        <v>0</v>
      </c>
      <c r="I13" s="59">
        <v>89.10141755235</v>
      </c>
      <c r="J13" s="59">
        <v>0</v>
      </c>
      <c r="K13" s="59">
        <v>0</v>
      </c>
      <c r="L13" s="59">
        <v>0</v>
      </c>
      <c r="M13" s="59">
        <v>0</v>
      </c>
      <c r="N13" s="57"/>
      <c r="O13" s="60"/>
      <c r="P13" s="59"/>
      <c r="Q13" s="59"/>
      <c r="R13" s="59"/>
      <c r="S13" s="59"/>
      <c r="T13" s="61"/>
      <c r="U13" s="60"/>
      <c r="V13" s="59"/>
      <c r="W13" s="59"/>
      <c r="X13" s="59"/>
      <c r="Y13" s="59"/>
      <c r="Z13" s="59"/>
      <c r="AA13" s="57"/>
      <c r="AB13" s="64"/>
      <c r="AC13" s="64"/>
      <c r="AD13" s="59"/>
      <c r="AE13" s="62"/>
      <c r="AF13" s="57"/>
      <c r="AG13" s="60"/>
      <c r="AH13" s="62"/>
      <c r="AI13" s="60"/>
      <c r="AJ13" s="59"/>
      <c r="AK13" s="63">
        <f t="shared" si="0"/>
        <v>544.3001727831977</v>
      </c>
    </row>
    <row r="14" spans="1:37" ht="16.2" thickBot="1" x14ac:dyDescent="0.35">
      <c r="A14" s="15" t="s">
        <v>1</v>
      </c>
      <c r="B14" s="7" t="s">
        <v>18</v>
      </c>
      <c r="C14" s="37">
        <v>108.00378354811367</v>
      </c>
      <c r="D14" s="38">
        <v>1612.60508413601</v>
      </c>
      <c r="E14" s="42"/>
      <c r="F14" s="43"/>
      <c r="G14" s="43">
        <v>106.81915751824391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38"/>
      <c r="O14" s="42"/>
      <c r="P14" s="43"/>
      <c r="Q14" s="43"/>
      <c r="R14" s="43"/>
      <c r="S14" s="43"/>
      <c r="T14" s="65"/>
      <c r="U14" s="42">
        <v>197.49493062000002</v>
      </c>
      <c r="V14" s="43">
        <v>2208.055893749</v>
      </c>
      <c r="W14" s="43">
        <v>9235.5795055649996</v>
      </c>
      <c r="X14" s="43">
        <v>2334.9496125569999</v>
      </c>
      <c r="Y14" s="43">
        <v>3466.1860948333806</v>
      </c>
      <c r="Z14" s="43">
        <v>0</v>
      </c>
      <c r="AA14" s="38">
        <v>0</v>
      </c>
      <c r="AB14" s="64"/>
      <c r="AC14" s="64"/>
      <c r="AD14" s="64"/>
      <c r="AE14" s="66"/>
      <c r="AF14" s="41"/>
      <c r="AG14" s="42"/>
      <c r="AH14" s="44"/>
      <c r="AI14" s="42"/>
      <c r="AJ14" s="43"/>
      <c r="AK14" s="67">
        <f t="shared" si="0"/>
        <v>19269.694062526749</v>
      </c>
    </row>
    <row r="15" spans="1:37" x14ac:dyDescent="0.3">
      <c r="A15" s="14" t="s">
        <v>2</v>
      </c>
      <c r="B15" s="9" t="s">
        <v>19</v>
      </c>
      <c r="C15" s="52"/>
      <c r="D15" s="49"/>
      <c r="E15" s="31"/>
      <c r="F15" s="32"/>
      <c r="G15" s="32"/>
      <c r="H15" s="32"/>
      <c r="I15" s="32"/>
      <c r="J15" s="32"/>
      <c r="K15" s="32"/>
      <c r="L15" s="32"/>
      <c r="M15" s="32"/>
      <c r="N15" s="30"/>
      <c r="O15" s="52"/>
      <c r="P15" s="51"/>
      <c r="Q15" s="51"/>
      <c r="R15" s="51"/>
      <c r="S15" s="51"/>
      <c r="T15" s="53"/>
      <c r="U15" s="52">
        <v>13612.148112243545</v>
      </c>
      <c r="V15" s="51">
        <v>1601.7077518926239</v>
      </c>
      <c r="W15" s="51">
        <v>670.46448546276872</v>
      </c>
      <c r="X15" s="51">
        <v>0</v>
      </c>
      <c r="Y15" s="51">
        <v>1.8879448897643145</v>
      </c>
      <c r="Z15" s="51">
        <v>0</v>
      </c>
      <c r="AA15" s="49">
        <v>0</v>
      </c>
      <c r="AB15" s="48">
        <v>954.9528980250002</v>
      </c>
      <c r="AC15" s="48"/>
      <c r="AD15" s="48"/>
      <c r="AE15" s="54"/>
      <c r="AF15" s="49"/>
      <c r="AG15" s="52"/>
      <c r="AH15" s="54"/>
      <c r="AI15" s="31"/>
      <c r="AJ15" s="32"/>
      <c r="AK15" s="36">
        <f t="shared" si="0"/>
        <v>16841.161192513704</v>
      </c>
    </row>
    <row r="16" spans="1:37" x14ac:dyDescent="0.3">
      <c r="A16" s="17" t="s">
        <v>2</v>
      </c>
      <c r="B16" s="10" t="s">
        <v>30</v>
      </c>
      <c r="C16" s="31"/>
      <c r="D16" s="30"/>
      <c r="E16" s="31"/>
      <c r="F16" s="32"/>
      <c r="G16" s="32"/>
      <c r="H16" s="32"/>
      <c r="I16" s="32"/>
      <c r="J16" s="32"/>
      <c r="K16" s="32"/>
      <c r="L16" s="59"/>
      <c r="M16" s="59"/>
      <c r="N16" s="57"/>
      <c r="O16" s="60"/>
      <c r="P16" s="59"/>
      <c r="Q16" s="59"/>
      <c r="R16" s="59"/>
      <c r="S16" s="59"/>
      <c r="T16" s="61"/>
      <c r="U16" s="60">
        <v>0</v>
      </c>
      <c r="V16" s="59">
        <v>7780.8565033711457</v>
      </c>
      <c r="W16" s="59">
        <v>0</v>
      </c>
      <c r="X16" s="59">
        <v>0</v>
      </c>
      <c r="Y16" s="59">
        <v>1.3507277172292302</v>
      </c>
      <c r="Z16" s="59">
        <v>0</v>
      </c>
      <c r="AA16" s="57">
        <v>0</v>
      </c>
      <c r="AB16" s="29"/>
      <c r="AC16" s="29">
        <v>2651.0144106850003</v>
      </c>
      <c r="AD16" s="29"/>
      <c r="AE16" s="33"/>
      <c r="AF16" s="30"/>
      <c r="AG16" s="31"/>
      <c r="AH16" s="33"/>
      <c r="AI16" s="60"/>
      <c r="AJ16" s="59"/>
      <c r="AK16" s="63">
        <f t="shared" si="0"/>
        <v>10433.221641773376</v>
      </c>
    </row>
    <row r="17" spans="1:37" x14ac:dyDescent="0.3">
      <c r="A17" s="16" t="s">
        <v>2</v>
      </c>
      <c r="B17" s="11" t="s">
        <v>31</v>
      </c>
      <c r="C17" s="60"/>
      <c r="D17" s="57"/>
      <c r="E17" s="60"/>
      <c r="F17" s="59"/>
      <c r="G17" s="59"/>
      <c r="H17" s="59"/>
      <c r="I17" s="59"/>
      <c r="J17" s="59"/>
      <c r="K17" s="59"/>
      <c r="L17" s="59"/>
      <c r="M17" s="59"/>
      <c r="N17" s="57"/>
      <c r="O17" s="60"/>
      <c r="P17" s="59"/>
      <c r="Q17" s="59"/>
      <c r="R17" s="59"/>
      <c r="S17" s="59"/>
      <c r="T17" s="61"/>
      <c r="U17" s="60">
        <v>0</v>
      </c>
      <c r="V17" s="59">
        <v>0</v>
      </c>
      <c r="W17" s="59">
        <v>3967.9397424503513</v>
      </c>
      <c r="X17" s="59">
        <v>0</v>
      </c>
      <c r="Y17" s="59">
        <v>163.34230241776521</v>
      </c>
      <c r="Z17" s="59">
        <v>0</v>
      </c>
      <c r="AA17" s="57">
        <v>0</v>
      </c>
      <c r="AB17" s="56"/>
      <c r="AC17" s="56"/>
      <c r="AD17" s="56">
        <v>5620.1453858240002</v>
      </c>
      <c r="AE17" s="62"/>
      <c r="AF17" s="57"/>
      <c r="AG17" s="60"/>
      <c r="AH17" s="62"/>
      <c r="AI17" s="60"/>
      <c r="AJ17" s="59"/>
      <c r="AK17" s="63">
        <f t="shared" si="0"/>
        <v>9751.4274306921179</v>
      </c>
    </row>
    <row r="18" spans="1:37" x14ac:dyDescent="0.3">
      <c r="A18" s="16" t="s">
        <v>2</v>
      </c>
      <c r="B18" s="11" t="s">
        <v>21</v>
      </c>
      <c r="C18" s="60"/>
      <c r="D18" s="57"/>
      <c r="E18" s="60"/>
      <c r="F18" s="59"/>
      <c r="G18" s="59"/>
      <c r="H18" s="59"/>
      <c r="I18" s="59"/>
      <c r="J18" s="59"/>
      <c r="K18" s="59"/>
      <c r="L18" s="59"/>
      <c r="M18" s="59"/>
      <c r="N18" s="57"/>
      <c r="O18" s="60"/>
      <c r="P18" s="59"/>
      <c r="Q18" s="59"/>
      <c r="R18" s="59"/>
      <c r="S18" s="59"/>
      <c r="T18" s="61"/>
      <c r="U18" s="60">
        <v>0</v>
      </c>
      <c r="V18" s="59">
        <v>34.126323289029528</v>
      </c>
      <c r="W18" s="59">
        <v>92.558062260072703</v>
      </c>
      <c r="X18" s="59">
        <v>0</v>
      </c>
      <c r="Y18" s="59">
        <v>29769.343655268749</v>
      </c>
      <c r="Z18" s="59">
        <v>0</v>
      </c>
      <c r="AA18" s="57">
        <v>0</v>
      </c>
      <c r="AB18" s="56"/>
      <c r="AC18" s="56"/>
      <c r="AD18" s="56"/>
      <c r="AE18" s="62"/>
      <c r="AF18" s="57">
        <v>5001.8550206260397</v>
      </c>
      <c r="AG18" s="60"/>
      <c r="AH18" s="62"/>
      <c r="AI18" s="60"/>
      <c r="AJ18" s="59"/>
      <c r="AK18" s="63">
        <f t="shared" si="0"/>
        <v>34897.883061443892</v>
      </c>
    </row>
    <row r="19" spans="1:37" x14ac:dyDescent="0.3">
      <c r="A19" s="16" t="s">
        <v>2</v>
      </c>
      <c r="B19" s="11" t="s">
        <v>22</v>
      </c>
      <c r="C19" s="68"/>
      <c r="D19" s="61"/>
      <c r="E19" s="68"/>
      <c r="F19" s="69"/>
      <c r="G19" s="69"/>
      <c r="H19" s="69"/>
      <c r="I19" s="69"/>
      <c r="J19" s="69"/>
      <c r="K19" s="69"/>
      <c r="L19" s="69"/>
      <c r="M19" s="69"/>
      <c r="N19" s="61"/>
      <c r="O19" s="68"/>
      <c r="P19" s="69"/>
      <c r="Q19" s="69"/>
      <c r="R19" s="69"/>
      <c r="S19" s="69"/>
      <c r="T19" s="61"/>
      <c r="U19" s="60">
        <v>0</v>
      </c>
      <c r="V19" s="59">
        <v>0</v>
      </c>
      <c r="W19" s="59">
        <v>0</v>
      </c>
      <c r="X19" s="59">
        <v>0</v>
      </c>
      <c r="Y19" s="59">
        <v>0</v>
      </c>
      <c r="Z19" s="59">
        <v>2181.5544426020888</v>
      </c>
      <c r="AA19" s="57">
        <v>0</v>
      </c>
      <c r="AB19" s="56"/>
      <c r="AC19" s="56"/>
      <c r="AD19" s="56"/>
      <c r="AE19" s="62"/>
      <c r="AF19" s="57"/>
      <c r="AG19" s="68"/>
      <c r="AH19" s="70"/>
      <c r="AI19" s="68"/>
      <c r="AJ19" s="69"/>
      <c r="AK19" s="63">
        <f t="shared" si="0"/>
        <v>2181.5544426020888</v>
      </c>
    </row>
    <row r="20" spans="1:37" ht="16.2" thickBot="1" x14ac:dyDescent="0.35">
      <c r="A20" s="15" t="s">
        <v>2</v>
      </c>
      <c r="B20" s="12" t="s">
        <v>23</v>
      </c>
      <c r="C20" s="42"/>
      <c r="D20" s="38"/>
      <c r="E20" s="39"/>
      <c r="F20" s="40"/>
      <c r="G20" s="40"/>
      <c r="H20" s="40"/>
      <c r="I20" s="40"/>
      <c r="J20" s="40"/>
      <c r="K20" s="40"/>
      <c r="L20" s="40"/>
      <c r="M20" s="40"/>
      <c r="N20" s="41"/>
      <c r="O20" s="42"/>
      <c r="P20" s="43"/>
      <c r="Q20" s="43"/>
      <c r="R20" s="43"/>
      <c r="S20" s="43"/>
      <c r="T20" s="65"/>
      <c r="U20" s="42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38">
        <v>5527.8861625483132</v>
      </c>
      <c r="AB20" s="37"/>
      <c r="AC20" s="37"/>
      <c r="AD20" s="37"/>
      <c r="AE20" s="44"/>
      <c r="AF20" s="38"/>
      <c r="AG20" s="42"/>
      <c r="AH20" s="44"/>
      <c r="AI20" s="39"/>
      <c r="AJ20" s="40"/>
      <c r="AK20" s="47">
        <f t="shared" si="0"/>
        <v>5527.8861625483132</v>
      </c>
    </row>
    <row r="21" spans="1:37" x14ac:dyDescent="0.3">
      <c r="A21" s="18" t="s">
        <v>3</v>
      </c>
      <c r="B21" s="10" t="s">
        <v>19</v>
      </c>
      <c r="C21" s="31"/>
      <c r="D21" s="30"/>
      <c r="E21" s="52">
        <v>2617.025379747537</v>
      </c>
      <c r="F21" s="48">
        <v>5806.4500396857466</v>
      </c>
      <c r="G21" s="51">
        <v>0</v>
      </c>
      <c r="H21" s="51">
        <v>0</v>
      </c>
      <c r="I21" s="51"/>
      <c r="J21" s="51"/>
      <c r="K21" s="51"/>
      <c r="L21" s="51"/>
      <c r="M21" s="51"/>
      <c r="N21" s="49"/>
      <c r="O21" s="71">
        <v>3883.8251098984642</v>
      </c>
      <c r="P21" s="72">
        <v>6661.9151773175618</v>
      </c>
      <c r="Q21" s="72">
        <v>81.24721071510001</v>
      </c>
      <c r="R21" s="72">
        <v>93.216549049077983</v>
      </c>
      <c r="S21" s="72">
        <v>0.14483464449856615</v>
      </c>
      <c r="T21" s="73">
        <v>3.5164023278010277E-2</v>
      </c>
      <c r="U21" s="52"/>
      <c r="V21" s="51"/>
      <c r="W21" s="51"/>
      <c r="X21" s="51"/>
      <c r="Y21" s="51"/>
      <c r="Z21" s="51"/>
      <c r="AA21" s="49"/>
      <c r="AB21" s="29"/>
      <c r="AC21" s="29"/>
      <c r="AD21" s="29"/>
      <c r="AE21" s="33"/>
      <c r="AF21" s="30"/>
      <c r="AG21" s="31"/>
      <c r="AH21" s="33"/>
      <c r="AI21" s="52">
        <v>0</v>
      </c>
      <c r="AJ21" s="51">
        <v>-2521.4819488420685</v>
      </c>
      <c r="AK21" s="55">
        <f t="shared" si="0"/>
        <v>16622.377516239194</v>
      </c>
    </row>
    <row r="22" spans="1:37" x14ac:dyDescent="0.3">
      <c r="A22" s="18" t="s">
        <v>3</v>
      </c>
      <c r="B22" s="10" t="s">
        <v>30</v>
      </c>
      <c r="C22" s="31"/>
      <c r="D22" s="30"/>
      <c r="E22" s="31">
        <v>4013.8049682348756</v>
      </c>
      <c r="F22" s="29">
        <v>10311.197724158024</v>
      </c>
      <c r="G22" s="32"/>
      <c r="H22" s="32"/>
      <c r="I22" s="32"/>
      <c r="J22" s="32"/>
      <c r="K22" s="32"/>
      <c r="L22" s="59"/>
      <c r="M22" s="59"/>
      <c r="N22" s="57"/>
      <c r="O22" s="74">
        <v>248.98788564189022</v>
      </c>
      <c r="P22" s="75">
        <v>485.83307574706623</v>
      </c>
      <c r="Q22" s="75">
        <v>5.1299350356100257</v>
      </c>
      <c r="R22" s="75">
        <v>236.28259362335294</v>
      </c>
      <c r="S22" s="75">
        <v>9.6815428012217517E-3</v>
      </c>
      <c r="T22" s="76">
        <v>2.3505563714252414E-3</v>
      </c>
      <c r="U22" s="60"/>
      <c r="V22" s="59"/>
      <c r="W22" s="59"/>
      <c r="X22" s="59"/>
      <c r="Y22" s="59"/>
      <c r="Z22" s="59"/>
      <c r="AA22" s="57"/>
      <c r="AB22" s="29"/>
      <c r="AC22" s="29"/>
      <c r="AD22" s="29"/>
      <c r="AE22" s="33"/>
      <c r="AF22" s="30"/>
      <c r="AG22" s="31"/>
      <c r="AH22" s="33"/>
      <c r="AI22" s="60">
        <v>0</v>
      </c>
      <c r="AJ22" s="59">
        <v>-681.99470799490405</v>
      </c>
      <c r="AK22" s="63">
        <f t="shared" si="0"/>
        <v>14619.253506545088</v>
      </c>
    </row>
    <row r="23" spans="1:37" x14ac:dyDescent="0.3">
      <c r="A23" s="19" t="s">
        <v>3</v>
      </c>
      <c r="B23" s="11" t="s">
        <v>31</v>
      </c>
      <c r="C23" s="60"/>
      <c r="D23" s="57"/>
      <c r="E23" s="31">
        <v>1186.2661831007813</v>
      </c>
      <c r="F23" s="29">
        <v>2631.99408735114</v>
      </c>
      <c r="G23" s="32">
        <v>0</v>
      </c>
      <c r="H23" s="32">
        <v>0</v>
      </c>
      <c r="I23" s="59"/>
      <c r="J23" s="59"/>
      <c r="K23" s="59"/>
      <c r="L23" s="59"/>
      <c r="M23" s="59"/>
      <c r="N23" s="57"/>
      <c r="O23" s="74">
        <v>789.66499669009841</v>
      </c>
      <c r="P23" s="75">
        <v>227.34053655526242</v>
      </c>
      <c r="Q23" s="75">
        <v>3116.962154823535</v>
      </c>
      <c r="R23" s="75">
        <v>4460.19679177736</v>
      </c>
      <c r="S23" s="75">
        <v>68.028091706480865</v>
      </c>
      <c r="T23" s="76">
        <v>16.516361873273993</v>
      </c>
      <c r="U23" s="60"/>
      <c r="V23" s="59"/>
      <c r="W23" s="59"/>
      <c r="X23" s="59"/>
      <c r="Y23" s="59"/>
      <c r="Z23" s="59"/>
      <c r="AA23" s="57"/>
      <c r="AB23" s="29"/>
      <c r="AC23" s="29"/>
      <c r="AD23" s="59"/>
      <c r="AE23" s="62"/>
      <c r="AF23" s="57"/>
      <c r="AG23" s="60"/>
      <c r="AH23" s="62"/>
      <c r="AI23" s="60">
        <v>2781.3576692406323</v>
      </c>
      <c r="AJ23" s="59">
        <v>2771.4955151882118</v>
      </c>
      <c r="AK23" s="63">
        <f t="shared" si="0"/>
        <v>18049.822388306777</v>
      </c>
    </row>
    <row r="24" spans="1:37" x14ac:dyDescent="0.3">
      <c r="A24" s="19" t="s">
        <v>3</v>
      </c>
      <c r="B24" s="11" t="s">
        <v>24</v>
      </c>
      <c r="C24" s="60"/>
      <c r="D24" s="57"/>
      <c r="E24" s="31">
        <v>11.046249431234042</v>
      </c>
      <c r="F24" s="29">
        <v>24.508549265408757</v>
      </c>
      <c r="G24" s="32">
        <v>0</v>
      </c>
      <c r="H24" s="32">
        <v>0</v>
      </c>
      <c r="I24" s="59"/>
      <c r="J24" s="59"/>
      <c r="K24" s="59"/>
      <c r="L24" s="59"/>
      <c r="M24" s="59"/>
      <c r="N24" s="57"/>
      <c r="O24" s="74">
        <v>61.194524499800544</v>
      </c>
      <c r="P24" s="75">
        <v>42.442055134142322</v>
      </c>
      <c r="Q24" s="75">
        <v>631.39194481063328</v>
      </c>
      <c r="R24" s="75">
        <v>1745.1090562894628</v>
      </c>
      <c r="S24" s="75">
        <v>32.546959103354318</v>
      </c>
      <c r="T24" s="76">
        <v>7.9019907944064443</v>
      </c>
      <c r="U24" s="60"/>
      <c r="V24" s="59"/>
      <c r="W24" s="59"/>
      <c r="X24" s="59"/>
      <c r="Y24" s="59"/>
      <c r="Z24" s="59"/>
      <c r="AA24" s="57"/>
      <c r="AB24" s="56"/>
      <c r="AC24" s="56"/>
      <c r="AD24" s="59"/>
      <c r="AE24" s="62">
        <v>278.48699972399999</v>
      </c>
      <c r="AF24" s="57"/>
      <c r="AG24" s="60"/>
      <c r="AH24" s="62"/>
      <c r="AI24" s="60">
        <v>0</v>
      </c>
      <c r="AJ24" s="59">
        <v>1164.9714854186464</v>
      </c>
      <c r="AK24" s="63">
        <f t="shared" si="0"/>
        <v>3999.5998144710888</v>
      </c>
    </row>
    <row r="25" spans="1:37" x14ac:dyDescent="0.3">
      <c r="A25" s="19" t="s">
        <v>3</v>
      </c>
      <c r="B25" s="11" t="s">
        <v>21</v>
      </c>
      <c r="C25" s="60"/>
      <c r="D25" s="57"/>
      <c r="E25" s="31">
        <v>2511.0719851797112</v>
      </c>
      <c r="F25" s="29">
        <v>5571.3689828285369</v>
      </c>
      <c r="G25" s="32">
        <v>0</v>
      </c>
      <c r="H25" s="32">
        <v>0</v>
      </c>
      <c r="I25" s="59"/>
      <c r="J25" s="59"/>
      <c r="K25" s="59"/>
      <c r="L25" s="59"/>
      <c r="M25" s="59"/>
      <c r="N25" s="57"/>
      <c r="O25" s="74">
        <v>141.71576054323774</v>
      </c>
      <c r="P25" s="75">
        <v>80.507836312150033</v>
      </c>
      <c r="Q25" s="75">
        <v>1189.8598428177779</v>
      </c>
      <c r="R25" s="75">
        <v>7421.8170140374132</v>
      </c>
      <c r="S25" s="75">
        <v>213.2326409065451</v>
      </c>
      <c r="T25" s="76">
        <v>51.770193343096082</v>
      </c>
      <c r="U25" s="60"/>
      <c r="V25" s="59"/>
      <c r="W25" s="59"/>
      <c r="X25" s="59"/>
      <c r="Y25" s="59"/>
      <c r="Z25" s="59"/>
      <c r="AA25" s="57"/>
      <c r="AB25" s="56"/>
      <c r="AC25" s="56"/>
      <c r="AD25" s="59"/>
      <c r="AE25" s="62"/>
      <c r="AF25" s="57"/>
      <c r="AG25" s="60">
        <v>6507.63100975627</v>
      </c>
      <c r="AH25" s="62">
        <v>2023.6152741638984</v>
      </c>
      <c r="AI25" s="60">
        <v>8062.505061603506</v>
      </c>
      <c r="AJ25" s="59">
        <v>0</v>
      </c>
      <c r="AK25" s="63">
        <f t="shared" si="0"/>
        <v>33775.095601492139</v>
      </c>
    </row>
    <row r="26" spans="1:37" x14ac:dyDescent="0.3">
      <c r="A26" s="19" t="s">
        <v>3</v>
      </c>
      <c r="B26" s="11" t="s">
        <v>22</v>
      </c>
      <c r="C26" s="68"/>
      <c r="D26" s="61"/>
      <c r="E26" s="31"/>
      <c r="F26" s="29"/>
      <c r="G26" s="32">
        <v>2181.5544426020888</v>
      </c>
      <c r="H26" s="32">
        <v>0</v>
      </c>
      <c r="I26" s="69"/>
      <c r="J26" s="69"/>
      <c r="K26" s="69"/>
      <c r="L26" s="69"/>
      <c r="M26" s="69"/>
      <c r="N26" s="61"/>
      <c r="O26" s="74">
        <v>0</v>
      </c>
      <c r="P26" s="75">
        <v>0</v>
      </c>
      <c r="Q26" s="75">
        <v>0</v>
      </c>
      <c r="R26" s="75">
        <v>0</v>
      </c>
      <c r="S26" s="75">
        <v>0</v>
      </c>
      <c r="T26" s="76">
        <v>0</v>
      </c>
      <c r="U26" s="68"/>
      <c r="V26" s="69"/>
      <c r="W26" s="69"/>
      <c r="X26" s="69"/>
      <c r="Y26" s="69"/>
      <c r="Z26" s="69"/>
      <c r="AA26" s="61"/>
      <c r="AB26" s="77"/>
      <c r="AC26" s="77"/>
      <c r="AD26" s="69"/>
      <c r="AE26" s="70"/>
      <c r="AF26" s="61"/>
      <c r="AG26" s="68"/>
      <c r="AH26" s="70"/>
      <c r="AI26" s="60">
        <v>0</v>
      </c>
      <c r="AJ26" s="59">
        <v>0</v>
      </c>
      <c r="AK26" s="63">
        <f t="shared" si="0"/>
        <v>2181.5544426020888</v>
      </c>
    </row>
    <row r="27" spans="1:37" ht="16.2" thickBot="1" x14ac:dyDescent="0.35">
      <c r="A27" s="20" t="s">
        <v>3</v>
      </c>
      <c r="B27" s="13" t="s">
        <v>23</v>
      </c>
      <c r="C27" s="39"/>
      <c r="D27" s="41"/>
      <c r="E27" s="78"/>
      <c r="F27" s="79"/>
      <c r="G27" s="80">
        <v>0</v>
      </c>
      <c r="H27" s="80">
        <v>5527.8861625483132</v>
      </c>
      <c r="I27" s="43"/>
      <c r="J27" s="43"/>
      <c r="K27" s="43"/>
      <c r="L27" s="43"/>
      <c r="M27" s="43"/>
      <c r="N27" s="38"/>
      <c r="O27" s="81">
        <v>0</v>
      </c>
      <c r="P27" s="82">
        <v>0</v>
      </c>
      <c r="Q27" s="82">
        <v>0</v>
      </c>
      <c r="R27" s="82">
        <v>0</v>
      </c>
      <c r="S27" s="82">
        <v>0</v>
      </c>
      <c r="T27" s="83">
        <v>0</v>
      </c>
      <c r="U27" s="42"/>
      <c r="V27" s="43"/>
      <c r="W27" s="43"/>
      <c r="X27" s="43"/>
      <c r="Y27" s="43"/>
      <c r="Z27" s="43"/>
      <c r="AA27" s="38"/>
      <c r="AB27" s="64"/>
      <c r="AC27" s="64"/>
      <c r="AD27" s="40"/>
      <c r="AE27" s="66"/>
      <c r="AF27" s="41"/>
      <c r="AG27" s="39"/>
      <c r="AH27" s="66"/>
      <c r="AI27" s="42">
        <v>0</v>
      </c>
      <c r="AJ27" s="43">
        <v>0</v>
      </c>
      <c r="AK27" s="67">
        <f t="shared" si="0"/>
        <v>5527.8861625483132</v>
      </c>
    </row>
    <row r="28" spans="1:37" x14ac:dyDescent="0.3">
      <c r="A28" s="14" t="s">
        <v>4</v>
      </c>
      <c r="B28" s="9" t="s">
        <v>19</v>
      </c>
      <c r="C28" s="52"/>
      <c r="D28" s="49"/>
      <c r="E28" s="52"/>
      <c r="F28" s="51"/>
      <c r="G28" s="51"/>
      <c r="H28" s="51"/>
      <c r="I28" s="51"/>
      <c r="J28" s="51"/>
      <c r="K28" s="51"/>
      <c r="L28" s="51"/>
      <c r="M28" s="51"/>
      <c r="N28" s="49">
        <v>954.9528980250002</v>
      </c>
      <c r="O28" s="52"/>
      <c r="P28" s="51"/>
      <c r="Q28" s="51"/>
      <c r="R28" s="51"/>
      <c r="S28" s="51"/>
      <c r="T28" s="53"/>
      <c r="U28" s="29"/>
      <c r="V28" s="29"/>
      <c r="W28" s="32"/>
      <c r="X28" s="32"/>
      <c r="Y28" s="32"/>
      <c r="Z28" s="32"/>
      <c r="AA28" s="33"/>
      <c r="AB28" s="52"/>
      <c r="AC28" s="48"/>
      <c r="AD28" s="51"/>
      <c r="AE28" s="54"/>
      <c r="AF28" s="49"/>
      <c r="AG28" s="52"/>
      <c r="AH28" s="54"/>
      <c r="AI28" s="52"/>
      <c r="AJ28" s="51"/>
      <c r="AK28" s="55">
        <f t="shared" si="0"/>
        <v>954.9528980250002</v>
      </c>
    </row>
    <row r="29" spans="1:37" x14ac:dyDescent="0.3">
      <c r="A29" s="17" t="s">
        <v>4</v>
      </c>
      <c r="B29" s="10" t="s">
        <v>30</v>
      </c>
      <c r="C29" s="31"/>
      <c r="D29" s="30"/>
      <c r="E29" s="31"/>
      <c r="F29" s="32"/>
      <c r="G29" s="32"/>
      <c r="H29" s="32"/>
      <c r="I29" s="32"/>
      <c r="J29" s="32"/>
      <c r="K29" s="32"/>
      <c r="L29" s="59"/>
      <c r="M29" s="59"/>
      <c r="N29" s="57">
        <v>2651.0144106850003</v>
      </c>
      <c r="O29" s="60"/>
      <c r="P29" s="59"/>
      <c r="Q29" s="59"/>
      <c r="R29" s="59"/>
      <c r="S29" s="59"/>
      <c r="T29" s="61"/>
      <c r="U29" s="29"/>
      <c r="V29" s="29"/>
      <c r="W29" s="32"/>
      <c r="X29" s="32"/>
      <c r="Y29" s="32"/>
      <c r="Z29" s="32"/>
      <c r="AA29" s="33"/>
      <c r="AB29" s="31"/>
      <c r="AC29" s="29"/>
      <c r="AD29" s="32"/>
      <c r="AE29" s="33"/>
      <c r="AF29" s="30"/>
      <c r="AG29" s="31"/>
      <c r="AH29" s="33"/>
      <c r="AI29" s="60"/>
      <c r="AJ29" s="59"/>
      <c r="AK29" s="63">
        <f t="shared" si="0"/>
        <v>2651.0144106850003</v>
      </c>
    </row>
    <row r="30" spans="1:37" x14ac:dyDescent="0.3">
      <c r="A30" s="16" t="s">
        <v>4</v>
      </c>
      <c r="B30" s="11" t="s">
        <v>31</v>
      </c>
      <c r="C30" s="60"/>
      <c r="D30" s="57"/>
      <c r="E30" s="60"/>
      <c r="F30" s="59"/>
      <c r="G30" s="59"/>
      <c r="H30" s="59"/>
      <c r="I30" s="59"/>
      <c r="J30" s="59"/>
      <c r="K30" s="59"/>
      <c r="L30" s="59"/>
      <c r="M30" s="59"/>
      <c r="N30" s="57">
        <v>5620.1453858240002</v>
      </c>
      <c r="O30" s="60"/>
      <c r="P30" s="59"/>
      <c r="Q30" s="59"/>
      <c r="R30" s="59"/>
      <c r="S30" s="59"/>
      <c r="T30" s="61"/>
      <c r="U30" s="56"/>
      <c r="V30" s="56"/>
      <c r="W30" s="59"/>
      <c r="X30" s="59"/>
      <c r="Y30" s="59"/>
      <c r="Z30" s="59"/>
      <c r="AA30" s="62"/>
      <c r="AB30" s="60"/>
      <c r="AC30" s="56"/>
      <c r="AD30" s="59"/>
      <c r="AE30" s="62"/>
      <c r="AF30" s="57"/>
      <c r="AG30" s="60"/>
      <c r="AH30" s="62"/>
      <c r="AI30" s="60"/>
      <c r="AJ30" s="59"/>
      <c r="AK30" s="63">
        <f t="shared" si="0"/>
        <v>5620.1453858240002</v>
      </c>
    </row>
    <row r="31" spans="1:37" x14ac:dyDescent="0.3">
      <c r="A31" s="21" t="s">
        <v>4</v>
      </c>
      <c r="B31" s="13" t="s">
        <v>24</v>
      </c>
      <c r="C31" s="39"/>
      <c r="D31" s="41"/>
      <c r="E31" s="39"/>
      <c r="F31" s="84"/>
      <c r="G31" s="40"/>
      <c r="H31" s="40"/>
      <c r="I31" s="40"/>
      <c r="J31" s="40"/>
      <c r="K31" s="40"/>
      <c r="L31" s="59"/>
      <c r="M31" s="59"/>
      <c r="N31" s="57">
        <v>278.48699972399999</v>
      </c>
      <c r="O31" s="60"/>
      <c r="P31" s="59"/>
      <c r="Q31" s="59"/>
      <c r="R31" s="59"/>
      <c r="S31" s="59"/>
      <c r="T31" s="61"/>
      <c r="U31" s="64"/>
      <c r="V31" s="64"/>
      <c r="W31" s="40"/>
      <c r="X31" s="40"/>
      <c r="Y31" s="40"/>
      <c r="Z31" s="40"/>
      <c r="AA31" s="66"/>
      <c r="AB31" s="39"/>
      <c r="AC31" s="64"/>
      <c r="AD31" s="40"/>
      <c r="AE31" s="66"/>
      <c r="AF31" s="41"/>
      <c r="AG31" s="39"/>
      <c r="AH31" s="66"/>
      <c r="AI31" s="60"/>
      <c r="AJ31" s="59"/>
      <c r="AK31" s="63">
        <f t="shared" si="0"/>
        <v>278.48699972399999</v>
      </c>
    </row>
    <row r="32" spans="1:37" ht="16.2" thickBot="1" x14ac:dyDescent="0.35">
      <c r="A32" s="15" t="s">
        <v>4</v>
      </c>
      <c r="B32" s="12" t="s">
        <v>21</v>
      </c>
      <c r="C32" s="42"/>
      <c r="D32" s="38"/>
      <c r="E32" s="42"/>
      <c r="F32" s="43"/>
      <c r="G32" s="43"/>
      <c r="H32" s="43"/>
      <c r="I32" s="43"/>
      <c r="J32" s="43"/>
      <c r="K32" s="43"/>
      <c r="L32" s="43"/>
      <c r="M32" s="43"/>
      <c r="N32" s="38">
        <v>5001.8550206260397</v>
      </c>
      <c r="O32" s="42"/>
      <c r="P32" s="43"/>
      <c r="Q32" s="43"/>
      <c r="R32" s="43"/>
      <c r="S32" s="43"/>
      <c r="T32" s="65"/>
      <c r="U32" s="37"/>
      <c r="V32" s="37"/>
      <c r="W32" s="43"/>
      <c r="X32" s="43"/>
      <c r="Y32" s="43"/>
      <c r="Z32" s="43"/>
      <c r="AA32" s="44"/>
      <c r="AB32" s="42"/>
      <c r="AC32" s="37"/>
      <c r="AD32" s="43"/>
      <c r="AE32" s="44"/>
      <c r="AF32" s="38"/>
      <c r="AG32" s="42"/>
      <c r="AH32" s="44"/>
      <c r="AI32" s="42"/>
      <c r="AJ32" s="43"/>
      <c r="AK32" s="67">
        <f t="shared" si="0"/>
        <v>5001.8550206260397</v>
      </c>
    </row>
    <row r="33" spans="1:37" x14ac:dyDescent="0.3">
      <c r="A33" s="18" t="s">
        <v>5</v>
      </c>
      <c r="B33" s="10" t="s">
        <v>25</v>
      </c>
      <c r="C33" s="31"/>
      <c r="D33" s="30"/>
      <c r="E33" s="52"/>
      <c r="F33" s="51"/>
      <c r="G33" s="51"/>
      <c r="H33" s="51"/>
      <c r="I33" s="51"/>
      <c r="J33" s="51"/>
      <c r="K33" s="51"/>
      <c r="L33" s="51"/>
      <c r="M33" s="51"/>
      <c r="N33" s="49"/>
      <c r="O33" s="52"/>
      <c r="P33" s="51"/>
      <c r="Q33" s="51"/>
      <c r="R33" s="51"/>
      <c r="S33" s="51"/>
      <c r="T33" s="53"/>
      <c r="U33" s="29">
        <v>2179.0176650171347</v>
      </c>
      <c r="V33" s="29">
        <v>1773.2334308224279</v>
      </c>
      <c r="W33" s="32">
        <v>2150.3333571262838</v>
      </c>
      <c r="X33" s="32">
        <v>405.04655679042355</v>
      </c>
      <c r="Y33" s="32"/>
      <c r="Z33" s="32"/>
      <c r="AA33" s="33"/>
      <c r="AB33" s="31"/>
      <c r="AC33" s="29"/>
      <c r="AD33" s="32"/>
      <c r="AE33" s="33"/>
      <c r="AF33" s="30"/>
      <c r="AG33" s="31"/>
      <c r="AH33" s="33"/>
      <c r="AI33" s="52"/>
      <c r="AJ33" s="51"/>
      <c r="AK33" s="55">
        <f t="shared" si="0"/>
        <v>6507.63100975627</v>
      </c>
    </row>
    <row r="34" spans="1:37" ht="16.2" thickBot="1" x14ac:dyDescent="0.35">
      <c r="A34" s="20" t="s">
        <v>5</v>
      </c>
      <c r="B34" s="13" t="s">
        <v>26</v>
      </c>
      <c r="C34" s="39"/>
      <c r="D34" s="41"/>
      <c r="E34" s="42"/>
      <c r="F34" s="43"/>
      <c r="G34" s="43"/>
      <c r="H34" s="43"/>
      <c r="I34" s="43"/>
      <c r="J34" s="43"/>
      <c r="K34" s="43"/>
      <c r="L34" s="43"/>
      <c r="M34" s="43"/>
      <c r="N34" s="38"/>
      <c r="O34" s="39"/>
      <c r="P34" s="40"/>
      <c r="Q34" s="40"/>
      <c r="R34" s="40"/>
      <c r="S34" s="40"/>
      <c r="T34" s="85"/>
      <c r="U34" s="64">
        <v>530.43064138783643</v>
      </c>
      <c r="V34" s="64">
        <v>407.44154885569253</v>
      </c>
      <c r="W34" s="40">
        <v>451.73522256997029</v>
      </c>
      <c r="X34" s="40">
        <v>634.00786135039937</v>
      </c>
      <c r="Y34" s="40"/>
      <c r="Z34" s="40"/>
      <c r="AA34" s="66"/>
      <c r="AB34" s="39"/>
      <c r="AC34" s="64"/>
      <c r="AD34" s="40"/>
      <c r="AE34" s="66"/>
      <c r="AF34" s="41"/>
      <c r="AG34" s="39"/>
      <c r="AH34" s="66"/>
      <c r="AI34" s="42"/>
      <c r="AJ34" s="43"/>
      <c r="AK34" s="67">
        <f t="shared" si="0"/>
        <v>2023.6152741638984</v>
      </c>
    </row>
    <row r="35" spans="1:37" x14ac:dyDescent="0.3">
      <c r="A35" s="14" t="s">
        <v>6</v>
      </c>
      <c r="B35" s="9" t="s">
        <v>27</v>
      </c>
      <c r="C35" s="52"/>
      <c r="D35" s="49"/>
      <c r="E35" s="31">
        <v>2380.4958504722304</v>
      </c>
      <c r="F35" s="29">
        <v>5183.2857914546366</v>
      </c>
      <c r="G35" s="32">
        <v>936.11408766189334</v>
      </c>
      <c r="H35" s="32">
        <v>0</v>
      </c>
      <c r="I35" s="32">
        <v>1423.8058417332741</v>
      </c>
      <c r="J35" s="32"/>
      <c r="K35" s="32"/>
      <c r="L35" s="32"/>
      <c r="M35" s="32"/>
      <c r="N35" s="33">
        <v>1653.1515032919888</v>
      </c>
      <c r="O35" s="52"/>
      <c r="P35" s="51"/>
      <c r="Q35" s="51"/>
      <c r="R35" s="51"/>
      <c r="S35" s="51"/>
      <c r="T35" s="53"/>
      <c r="U35" s="48"/>
      <c r="V35" s="51"/>
      <c r="W35" s="51"/>
      <c r="X35" s="51"/>
      <c r="Y35" s="51"/>
      <c r="Z35" s="51"/>
      <c r="AA35" s="54"/>
      <c r="AB35" s="52"/>
      <c r="AC35" s="51"/>
      <c r="AD35" s="51"/>
      <c r="AE35" s="51"/>
      <c r="AF35" s="49"/>
      <c r="AG35" s="48"/>
      <c r="AH35" s="54"/>
      <c r="AI35" s="31"/>
      <c r="AJ35" s="32"/>
      <c r="AK35" s="36">
        <f t="shared" si="0"/>
        <v>11576.853074614024</v>
      </c>
    </row>
    <row r="36" spans="1:37" x14ac:dyDescent="0.3">
      <c r="A36" s="16" t="s">
        <v>6</v>
      </c>
      <c r="B36" s="11" t="s">
        <v>28</v>
      </c>
      <c r="C36" s="60"/>
      <c r="D36" s="57"/>
      <c r="E36" s="60"/>
      <c r="F36" s="59"/>
      <c r="G36" s="59"/>
      <c r="H36" s="59"/>
      <c r="I36" s="59"/>
      <c r="J36" s="59"/>
      <c r="K36" s="59"/>
      <c r="L36" s="59"/>
      <c r="M36" s="59"/>
      <c r="N36" s="62"/>
      <c r="O36" s="60"/>
      <c r="P36" s="59"/>
      <c r="Q36" s="59"/>
      <c r="R36" s="59"/>
      <c r="S36" s="59"/>
      <c r="T36" s="61"/>
      <c r="U36" s="56"/>
      <c r="V36" s="59"/>
      <c r="W36" s="59"/>
      <c r="X36" s="59"/>
      <c r="Y36" s="59"/>
      <c r="Z36" s="59"/>
      <c r="AA36" s="62"/>
      <c r="AB36" s="60"/>
      <c r="AC36" s="59"/>
      <c r="AD36" s="59"/>
      <c r="AE36" s="59"/>
      <c r="AF36" s="57"/>
      <c r="AG36" s="56"/>
      <c r="AH36" s="62"/>
      <c r="AI36" s="60">
        <v>732.99034376988584</v>
      </c>
      <c r="AJ36" s="59"/>
      <c r="AK36" s="63">
        <f t="shared" si="0"/>
        <v>732.99034376988584</v>
      </c>
    </row>
    <row r="37" spans="1:37" ht="16.2" thickBot="1" x14ac:dyDescent="0.35">
      <c r="A37" s="15" t="s">
        <v>6</v>
      </c>
      <c r="B37" s="12" t="s">
        <v>29</v>
      </c>
      <c r="C37" s="86">
        <f t="shared" ref="C37:O37" si="1">SUM(C3:C36)</f>
        <v>19390.661572069785</v>
      </c>
      <c r="D37" s="67">
        <f t="shared" si="1"/>
        <v>28469.242834570447</v>
      </c>
      <c r="E37" s="86">
        <f t="shared" si="1"/>
        <v>13155.678836235296</v>
      </c>
      <c r="F37" s="87">
        <f t="shared" si="1"/>
        <v>30097.352656224994</v>
      </c>
      <c r="G37" s="87">
        <f t="shared" si="1"/>
        <v>5893.9053221084814</v>
      </c>
      <c r="H37" s="87">
        <f t="shared" si="1"/>
        <v>5583.3612150215431</v>
      </c>
      <c r="I37" s="87">
        <f t="shared" si="1"/>
        <v>21099.431217677011</v>
      </c>
      <c r="J37" s="87">
        <f t="shared" si="1"/>
        <v>1281.3446141556403</v>
      </c>
      <c r="K37" s="87">
        <f t="shared" si="1"/>
        <v>1385.3719787402501</v>
      </c>
      <c r="L37" s="87">
        <f t="shared" si="1"/>
        <v>2748.3410242479999</v>
      </c>
      <c r="M37" s="87">
        <f t="shared" si="1"/>
        <v>544.30017278319758</v>
      </c>
      <c r="N37" s="88">
        <f t="shared" si="1"/>
        <v>19269.694062526749</v>
      </c>
      <c r="O37" s="86">
        <f t="shared" si="1"/>
        <v>16841.1611925137</v>
      </c>
      <c r="P37" s="87">
        <f t="shared" ref="P37:AC37" si="2">SUM(P3:P36)</f>
        <v>10433.221641773374</v>
      </c>
      <c r="Q37" s="87">
        <f t="shared" si="2"/>
        <v>9751.4274306921161</v>
      </c>
      <c r="R37" s="87">
        <f t="shared" si="2"/>
        <v>34897.883061443892</v>
      </c>
      <c r="S37" s="87">
        <f t="shared" si="2"/>
        <v>2181.5544426020888</v>
      </c>
      <c r="T37" s="67">
        <f t="shared" si="2"/>
        <v>5527.8861625483141</v>
      </c>
      <c r="U37" s="89">
        <f t="shared" si="2"/>
        <v>16622.377516239198</v>
      </c>
      <c r="V37" s="87">
        <f t="shared" si="2"/>
        <v>14619.253506545087</v>
      </c>
      <c r="W37" s="87">
        <f t="shared" si="2"/>
        <v>18049.822388306759</v>
      </c>
      <c r="X37" s="87">
        <f t="shared" si="2"/>
        <v>3999.5998144710888</v>
      </c>
      <c r="Y37" s="87">
        <f t="shared" si="2"/>
        <v>33775.095601492139</v>
      </c>
      <c r="Z37" s="87">
        <f t="shared" si="2"/>
        <v>2181.5544426020888</v>
      </c>
      <c r="AA37" s="88">
        <f t="shared" si="2"/>
        <v>5527.8861625483132</v>
      </c>
      <c r="AB37" s="86">
        <f t="shared" si="2"/>
        <v>954.9528980250002</v>
      </c>
      <c r="AC37" s="87">
        <f t="shared" si="2"/>
        <v>2651.0144106850003</v>
      </c>
      <c r="AD37" s="87">
        <f>SUM(AD3:AD36)</f>
        <v>5620.1453858240002</v>
      </c>
      <c r="AE37" s="87">
        <f t="shared" ref="AE37:AF37" si="3">SUM(AE3:AE36)</f>
        <v>278.48699972399999</v>
      </c>
      <c r="AF37" s="67">
        <f t="shared" si="3"/>
        <v>5001.8550206260397</v>
      </c>
      <c r="AG37" s="89">
        <f>SUM(AG3:AG36)</f>
        <v>6507.63100975627</v>
      </c>
      <c r="AH37" s="88">
        <f>SUM(AH3:AH36)</f>
        <v>2023.6152741638984</v>
      </c>
      <c r="AI37" s="86">
        <f>SUM(AI3:AI36)</f>
        <v>11576.853074614024</v>
      </c>
      <c r="AJ37" s="87">
        <f>SUM(AJ3:AJ36)</f>
        <v>732.99034376988584</v>
      </c>
      <c r="AK37" s="67">
        <f t="shared" si="0"/>
        <v>358674.95328732784</v>
      </c>
    </row>
    <row r="38" spans="1:37" x14ac:dyDescent="0.3">
      <c r="A38" s="4"/>
      <c r="B38" s="4"/>
      <c r="C38" s="5" cm="1">
        <f t="array" ref="C38:AK38">TRANSPOSE(AK3:AK37)</f>
        <v>19390.661572069785</v>
      </c>
      <c r="D38" s="5">
        <v>28469.242834570443</v>
      </c>
      <c r="E38" s="5">
        <v>13155.678836235296</v>
      </c>
      <c r="F38" s="5">
        <v>30097.35265622499</v>
      </c>
      <c r="G38" s="5">
        <v>5893.9053221084805</v>
      </c>
      <c r="H38" s="5">
        <v>5583.3612150215431</v>
      </c>
      <c r="I38" s="5">
        <v>21099.431217676996</v>
      </c>
      <c r="J38" s="5">
        <v>1281.3446141556403</v>
      </c>
      <c r="K38" s="5">
        <v>1385.3719787402501</v>
      </c>
      <c r="L38" s="5">
        <v>2748.3410242479995</v>
      </c>
      <c r="M38" s="5">
        <v>544.3001727831977</v>
      </c>
      <c r="N38" s="5">
        <v>19269.694062526749</v>
      </c>
      <c r="O38" s="5">
        <v>16841.161192513704</v>
      </c>
      <c r="P38" s="5">
        <v>10433.221641773376</v>
      </c>
      <c r="Q38" s="5">
        <v>9751.4274306921179</v>
      </c>
      <c r="R38" s="5">
        <v>34897.883061443892</v>
      </c>
      <c r="S38" s="5">
        <v>2181.5544426020888</v>
      </c>
      <c r="T38" s="5">
        <v>5527.8861625483132</v>
      </c>
      <c r="U38" s="5">
        <v>16622.377516239194</v>
      </c>
      <c r="V38" s="5">
        <v>14619.253506545088</v>
      </c>
      <c r="W38" s="5">
        <v>18049.822388306777</v>
      </c>
      <c r="X38" s="5">
        <v>3999.5998144710888</v>
      </c>
      <c r="Y38" s="5">
        <v>33775.095601492139</v>
      </c>
      <c r="Z38" s="5">
        <v>2181.5544426020888</v>
      </c>
      <c r="AA38" s="5">
        <v>5527.8861625483132</v>
      </c>
      <c r="AB38" s="5">
        <v>954.9528980250002</v>
      </c>
      <c r="AC38" s="5">
        <v>2651.0144106850003</v>
      </c>
      <c r="AD38" s="5">
        <v>5620.1453858240002</v>
      </c>
      <c r="AE38" s="5">
        <v>278.48699972399999</v>
      </c>
      <c r="AF38" s="5">
        <v>5001.8550206260397</v>
      </c>
      <c r="AG38" s="5">
        <v>6507.63100975627</v>
      </c>
      <c r="AH38" s="5">
        <v>2023.6152741638984</v>
      </c>
      <c r="AI38" s="5">
        <v>11576.853074614024</v>
      </c>
      <c r="AJ38" s="5">
        <v>732.99034376988584</v>
      </c>
      <c r="AK38" s="5">
        <v>358674.95328732784</v>
      </c>
    </row>
    <row r="39" spans="1:37" x14ac:dyDescent="0.3">
      <c r="A39" s="4"/>
      <c r="B39" s="4"/>
      <c r="C39" s="2">
        <f t="shared" ref="C39:AK39" si="4">C38-C37</f>
        <v>0</v>
      </c>
      <c r="D39" s="2">
        <f t="shared" si="4"/>
        <v>0</v>
      </c>
      <c r="E39" s="3">
        <f t="shared" si="4"/>
        <v>0</v>
      </c>
      <c r="F39" s="3">
        <f t="shared" si="4"/>
        <v>0</v>
      </c>
      <c r="G39" s="3">
        <f t="shared" si="4"/>
        <v>0</v>
      </c>
      <c r="H39" s="3">
        <f t="shared" si="4"/>
        <v>0</v>
      </c>
      <c r="I39" s="3">
        <f t="shared" si="4"/>
        <v>0</v>
      </c>
      <c r="J39" s="3">
        <f t="shared" si="4"/>
        <v>0</v>
      </c>
      <c r="K39" s="3">
        <f t="shared" si="4"/>
        <v>0</v>
      </c>
      <c r="L39" s="3">
        <f t="shared" si="4"/>
        <v>0</v>
      </c>
      <c r="M39" s="2">
        <f t="shared" si="4"/>
        <v>0</v>
      </c>
      <c r="N39" s="2">
        <f t="shared" si="4"/>
        <v>0</v>
      </c>
      <c r="O39" s="2">
        <f t="shared" si="4"/>
        <v>0</v>
      </c>
      <c r="P39" s="2">
        <f t="shared" si="4"/>
        <v>0</v>
      </c>
      <c r="Q39" s="2">
        <f t="shared" si="4"/>
        <v>0</v>
      </c>
      <c r="R39" s="2">
        <f t="shared" si="4"/>
        <v>0</v>
      </c>
      <c r="S39" s="2">
        <f t="shared" si="4"/>
        <v>0</v>
      </c>
      <c r="T39" s="2">
        <f t="shared" si="4"/>
        <v>0</v>
      </c>
      <c r="U39" s="2">
        <f t="shared" si="4"/>
        <v>0</v>
      </c>
      <c r="V39" s="2">
        <f t="shared" si="4"/>
        <v>0</v>
      </c>
      <c r="W39" s="2">
        <f t="shared" si="4"/>
        <v>0</v>
      </c>
      <c r="X39" s="2">
        <f t="shared" si="4"/>
        <v>0</v>
      </c>
      <c r="Y39" s="2">
        <f t="shared" si="4"/>
        <v>0</v>
      </c>
      <c r="Z39" s="2">
        <f t="shared" si="4"/>
        <v>0</v>
      </c>
      <c r="AA39" s="2">
        <f t="shared" si="4"/>
        <v>0</v>
      </c>
      <c r="AB39" s="2">
        <f t="shared" si="4"/>
        <v>0</v>
      </c>
      <c r="AC39" s="2">
        <f t="shared" si="4"/>
        <v>0</v>
      </c>
      <c r="AD39" s="2">
        <f t="shared" si="4"/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2">
        <f t="shared" si="4"/>
        <v>0</v>
      </c>
      <c r="AI39" s="2">
        <f t="shared" si="4"/>
        <v>0</v>
      </c>
      <c r="AJ39" s="2">
        <f t="shared" si="4"/>
        <v>0</v>
      </c>
      <c r="AK39" s="2">
        <f t="shared" si="4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Ramaharo</dc:creator>
  <cp:lastModifiedBy>Franck Ramaharo</cp:lastModifiedBy>
  <dcterms:created xsi:type="dcterms:W3CDTF">2026-05-15T12:00:25Z</dcterms:created>
  <dcterms:modified xsi:type="dcterms:W3CDTF">2026-09-08T09:20:40Z</dcterms:modified>
</cp:coreProperties>
</file>